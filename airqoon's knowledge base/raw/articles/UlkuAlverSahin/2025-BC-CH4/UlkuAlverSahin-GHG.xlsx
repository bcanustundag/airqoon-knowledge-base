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can/Library/CloudStorage/GoogleDrive-bcanustundag@gmail.com/My Drive/Inovatink/Works/Companies/airqoon/Partners/UlkuAlverSahin/2025-BC-CH4/"/>
    </mc:Choice>
  </mc:AlternateContent>
  <xr:revisionPtr revIDLastSave="0" documentId="13_ncr:1_{F8A9B7E8-8A3A-0A42-B607-26BDE893B99B}" xr6:coauthVersionLast="47" xr6:coauthVersionMax="47" xr10:uidLastSave="{00000000-0000-0000-0000-000000000000}"/>
  <bookViews>
    <workbookView xWindow="36000" yWindow="600" windowWidth="64000" windowHeight="35400" xr2:uid="{00000000-000D-0000-FFFF-FFFF00000000}"/>
  </bookViews>
  <sheets>
    <sheet name="Sheet1" sheetId="1" r:id="rId1"/>
    <sheet name="Cosku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RgSjfPOrJ2KQkUlYBIAqVv/o5Rzqol8OYAlA1WKW8c="/>
    </ext>
  </extLst>
</workbook>
</file>

<file path=xl/calcChain.xml><?xml version="1.0" encoding="utf-8"?>
<calcChain xmlns="http://schemas.openxmlformats.org/spreadsheetml/2006/main">
  <c r="E26" i="1" l="1"/>
  <c r="C11" i="1"/>
  <c r="E24" i="1"/>
  <c r="E23" i="1"/>
  <c r="E22" i="1"/>
  <c r="E21" i="1"/>
  <c r="D19" i="1"/>
  <c r="E19" i="1" s="1"/>
  <c r="E18" i="1"/>
  <c r="E17" i="1"/>
  <c r="D17" i="1"/>
  <c r="E16" i="1"/>
  <c r="D16" i="1"/>
  <c r="C12" i="1"/>
  <c r="D12" i="1" s="1"/>
  <c r="C10" i="1"/>
  <c r="G26" i="1" l="1"/>
  <c r="E25" i="1"/>
</calcChain>
</file>

<file path=xl/sharedStrings.xml><?xml version="1.0" encoding="utf-8"?>
<sst xmlns="http://schemas.openxmlformats.org/spreadsheetml/2006/main" count="30" uniqueCount="25">
  <si>
    <t>USD/TR</t>
  </si>
  <si>
    <t>Kalem</t>
  </si>
  <si>
    <t>Bütçe</t>
  </si>
  <si>
    <t>Sera Gazlarını İzleme Sensör ve BC Ölçüm Sistemi</t>
  </si>
  <si>
    <t>Hava Kirleticileri İzleme ve Sensör Sistemi</t>
  </si>
  <si>
    <t>BC Filtre (Burcu Hoca)</t>
  </si>
  <si>
    <t>3x teklif OK</t>
  </si>
  <si>
    <t>BC Filtre (Ülkü Hoca)</t>
  </si>
  <si>
    <t>CO2 Sensör (Sarf) (Ülkü Hoca)</t>
  </si>
  <si>
    <t>KDV</t>
  </si>
  <si>
    <t>Airqoon Unit L GAS-4 + OPC (PM-OPC, NO2, O3, SO2, CO)</t>
  </si>
  <si>
    <t>%50 iskonto</t>
  </si>
  <si>
    <t>Barış Bu kalemi eğer Balıklıgöldeki OPC yi kullanırsam birde bizde bulunan sensor modülünü kullanırsak ne kadar inersin</t>
  </si>
  <si>
    <r>
      <rPr>
        <sz val="12"/>
        <color theme="1"/>
        <rFont val="Aptos Narrow"/>
      </rPr>
      <t xml:space="preserve">Airqoon Unit L GAS-CUSTOM MA350+CH4, </t>
    </r>
    <r>
      <rPr>
        <b/>
        <sz val="12"/>
        <color theme="1"/>
        <rFont val="Aptos Narrow"/>
      </rPr>
      <t>CO2</t>
    </r>
  </si>
  <si>
    <t>Aethlabs MA350 (ve ekstra eklentiler)</t>
  </si>
  <si>
    <t>Cubic Instruments CH4 (TD-LAS)</t>
  </si>
  <si>
    <t>Kargo-aethlabs</t>
  </si>
  <si>
    <t>?</t>
  </si>
  <si>
    <t>Kargo-cubic</t>
  </si>
  <si>
    <t>Gümrük-aethlabs</t>
  </si>
  <si>
    <t>Gümrük-cubic</t>
  </si>
  <si>
    <t>airqoon'suz</t>
  </si>
  <si>
    <t>KDV dahil</t>
  </si>
  <si>
    <t>Samsung Monitor</t>
  </si>
  <si>
    <t>Tüp Doldurma (NO2)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</si>
</sst>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₺&quot;* #,##0.00_);_(&quot;₺&quot;* \(#,##0.00\);_(&quot;₺&quot;* &quot;-&quot;??_);_(@_)"/>
    <numFmt numFmtId="164" formatCode="_([$$-409]* #,##0.00_);_([$$-409]* \(#,##0.00\);_([$$-409]* &quot;-&quot;??_);_(@_)"/>
  </numFmts>
  <fonts count="10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FF"/>
      <name val="Arial"/>
      <family val="2"/>
    </font>
    <font>
      <sz val="12"/>
      <color rgb="FF0000FF"/>
      <name val="Aptos Narrow"/>
      <scheme val="minor"/>
    </font>
    <font>
      <sz val="12"/>
      <color rgb="FF92D050"/>
      <name val="Aptos Narrow"/>
    </font>
    <font>
      <sz val="12"/>
      <color rgb="FF92D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44" fontId="3" fillId="0" borderId="0" xfId="0" applyNumberFormat="1" applyFont="1"/>
    <xf numFmtId="0" fontId="4" fillId="0" borderId="0" xfId="0" applyFont="1"/>
    <xf numFmtId="44" fontId="5" fillId="0" borderId="0" xfId="0" applyNumberFormat="1" applyFont="1"/>
    <xf numFmtId="164" fontId="1" fillId="0" borderId="0" xfId="0" applyNumberFormat="1" applyFont="1"/>
    <xf numFmtId="0" fontId="3" fillId="2" borderId="1" xfId="0" applyFont="1" applyFill="1" applyBorder="1"/>
    <xf numFmtId="164" fontId="3" fillId="0" borderId="0" xfId="0" applyNumberFormat="1" applyFont="1"/>
    <xf numFmtId="0" fontId="6" fillId="0" borderId="0" xfId="0" applyFont="1"/>
    <xf numFmtId="164" fontId="7" fillId="0" borderId="0" xfId="0" applyNumberFormat="1" applyFont="1"/>
    <xf numFmtId="164" fontId="3" fillId="3" borderId="0" xfId="0" applyNumberFormat="1" applyFont="1" applyFill="1"/>
    <xf numFmtId="44" fontId="8" fillId="0" borderId="0" xfId="0" applyNumberFormat="1" applyFont="1" applyFill="1"/>
    <xf numFmtId="44" fontId="9" fillId="0" borderId="0" xfId="0" applyNumberFormat="1" applyFont="1"/>
    <xf numFmtId="44" fontId="8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1"/>
  <sheetViews>
    <sheetView tabSelected="1" zoomScale="233" workbookViewId="0">
      <selection activeCell="G30" sqref="G30"/>
    </sheetView>
  </sheetViews>
  <sheetFormatPr baseColWidth="10" defaultColWidth="11.1640625" defaultRowHeight="15" customHeight="1" x14ac:dyDescent="0.2"/>
  <cols>
    <col min="1" max="1" width="10.5" customWidth="1"/>
    <col min="2" max="2" width="48.83203125" customWidth="1"/>
    <col min="3" max="3" width="14.1640625" customWidth="1"/>
    <col min="4" max="5" width="11.5" customWidth="1"/>
    <col min="6" max="6" width="10.5" customWidth="1"/>
    <col min="7" max="7" width="11.1640625" bestFit="1" customWidth="1"/>
    <col min="8" max="26" width="10.5" customWidth="1"/>
  </cols>
  <sheetData>
    <row r="1" spans="2:8" ht="15.75" customHeight="1" x14ac:dyDescent="0.2"/>
    <row r="2" spans="2:8" ht="15.75" customHeight="1" x14ac:dyDescent="0.2">
      <c r="C2" s="1" t="s">
        <v>0</v>
      </c>
      <c r="D2" s="2">
        <v>42.5</v>
      </c>
    </row>
    <row r="3" spans="2:8" ht="15.75" customHeight="1" x14ac:dyDescent="0.2"/>
    <row r="4" spans="2:8" ht="15.75" customHeight="1" x14ac:dyDescent="0.2"/>
    <row r="5" spans="2:8" ht="15.75" customHeight="1" x14ac:dyDescent="0.2"/>
    <row r="6" spans="2:8" ht="15.75" customHeight="1" x14ac:dyDescent="0.2">
      <c r="B6" s="1" t="s">
        <v>1</v>
      </c>
      <c r="C6" s="1" t="s">
        <v>2</v>
      </c>
    </row>
    <row r="7" spans="2:8" ht="15.75" customHeight="1" x14ac:dyDescent="0.2">
      <c r="B7" s="2" t="s">
        <v>3</v>
      </c>
      <c r="C7" s="14">
        <v>687000</v>
      </c>
    </row>
    <row r="8" spans="2:8" ht="15.75" customHeight="1" x14ac:dyDescent="0.2">
      <c r="B8" s="2" t="s">
        <v>4</v>
      </c>
      <c r="C8" s="14">
        <v>289000</v>
      </c>
    </row>
    <row r="9" spans="2:8" ht="15.75" customHeight="1" x14ac:dyDescent="0.2">
      <c r="B9" s="4" t="s">
        <v>5</v>
      </c>
      <c r="C9" s="12">
        <v>96740</v>
      </c>
      <c r="D9" s="4" t="s">
        <v>6</v>
      </c>
    </row>
    <row r="10" spans="2:8" ht="15.75" customHeight="1" x14ac:dyDescent="0.2">
      <c r="B10" s="4" t="s">
        <v>7</v>
      </c>
      <c r="C10" s="13">
        <f>82800/1.2</f>
        <v>69000</v>
      </c>
      <c r="D10" s="4" t="s">
        <v>6</v>
      </c>
    </row>
    <row r="11" spans="2:8" ht="15.75" customHeight="1" x14ac:dyDescent="0.2">
      <c r="B11" s="2" t="s">
        <v>8</v>
      </c>
      <c r="C11" s="5">
        <f>54000/1.2</f>
        <v>45000</v>
      </c>
    </row>
    <row r="12" spans="2:8" ht="15.75" customHeight="1" x14ac:dyDescent="0.2">
      <c r="C12" s="3">
        <f>SUM(C7:Z11)</f>
        <v>1186740</v>
      </c>
      <c r="D12" s="6">
        <f>C12/D2</f>
        <v>27923.294117647059</v>
      </c>
    </row>
    <row r="13" spans="2:8" ht="15.75" customHeight="1" x14ac:dyDescent="0.2">
      <c r="B13" s="7"/>
      <c r="C13" s="7"/>
    </row>
    <row r="14" spans="2:8" ht="15.75" customHeight="1" x14ac:dyDescent="0.2">
      <c r="B14" s="7"/>
      <c r="C14" s="7"/>
    </row>
    <row r="15" spans="2:8" ht="15.75" customHeight="1" x14ac:dyDescent="0.2">
      <c r="D15" s="1" t="s">
        <v>9</v>
      </c>
    </row>
    <row r="16" spans="2:8" ht="15.75" customHeight="1" x14ac:dyDescent="0.2">
      <c r="B16" s="2" t="s">
        <v>10</v>
      </c>
      <c r="C16" s="8">
        <v>3800</v>
      </c>
      <c r="D16" s="8">
        <f t="shared" ref="D16:D17" si="0">C16*0</f>
        <v>0</v>
      </c>
      <c r="E16" s="8">
        <f t="shared" ref="E16:E19" si="1">SUM(C16:D16)</f>
        <v>3800</v>
      </c>
      <c r="F16" s="15"/>
      <c r="G16" s="2" t="s">
        <v>11</v>
      </c>
      <c r="H16" s="9" t="s">
        <v>12</v>
      </c>
    </row>
    <row r="17" spans="2:7" ht="15.75" customHeight="1" x14ac:dyDescent="0.2">
      <c r="B17" s="2" t="s">
        <v>13</v>
      </c>
      <c r="C17" s="8">
        <v>3250</v>
      </c>
      <c r="D17" s="8">
        <f t="shared" si="0"/>
        <v>0</v>
      </c>
      <c r="E17" s="8">
        <f t="shared" si="1"/>
        <v>3250</v>
      </c>
      <c r="G17" s="2" t="s">
        <v>11</v>
      </c>
    </row>
    <row r="18" spans="2:7" ht="15.75" customHeight="1" x14ac:dyDescent="0.2">
      <c r="B18" s="2" t="s">
        <v>14</v>
      </c>
      <c r="C18" s="8">
        <v>17500</v>
      </c>
      <c r="D18" s="8"/>
      <c r="E18" s="11">
        <f t="shared" si="1"/>
        <v>17500</v>
      </c>
    </row>
    <row r="19" spans="2:7" ht="15.75" customHeight="1" x14ac:dyDescent="0.2">
      <c r="B19" s="4" t="s">
        <v>15</v>
      </c>
      <c r="C19" s="8">
        <v>2024</v>
      </c>
      <c r="D19" s="8">
        <f t="shared" ref="D18:D19" si="2">C19*0.2</f>
        <v>404.8</v>
      </c>
      <c r="E19" s="11">
        <f t="shared" si="1"/>
        <v>2428.8000000000002</v>
      </c>
    </row>
    <row r="20" spans="2:7" ht="15.75" customHeight="1" x14ac:dyDescent="0.2">
      <c r="B20" s="7"/>
      <c r="C20" s="7"/>
    </row>
    <row r="21" spans="2:7" ht="15.75" customHeight="1" x14ac:dyDescent="0.2">
      <c r="B21" s="2" t="s">
        <v>16</v>
      </c>
      <c r="C21" s="8">
        <v>100</v>
      </c>
      <c r="D21" s="2" t="s">
        <v>17</v>
      </c>
      <c r="E21" s="8">
        <f t="shared" ref="E21:E24" si="3">SUM(C21:D21)</f>
        <v>100</v>
      </c>
    </row>
    <row r="22" spans="2:7" ht="15.75" customHeight="1" x14ac:dyDescent="0.2">
      <c r="B22" s="2" t="s">
        <v>18</v>
      </c>
      <c r="C22" s="8">
        <v>220</v>
      </c>
      <c r="D22" s="2" t="s">
        <v>17</v>
      </c>
      <c r="E22" s="8">
        <f t="shared" si="3"/>
        <v>220</v>
      </c>
    </row>
    <row r="23" spans="2:7" ht="15.75" customHeight="1" x14ac:dyDescent="0.2">
      <c r="B23" s="2" t="s">
        <v>19</v>
      </c>
      <c r="C23" s="8"/>
      <c r="E23" s="8">
        <f t="shared" si="3"/>
        <v>0</v>
      </c>
    </row>
    <row r="24" spans="2:7" ht="15.75" customHeight="1" x14ac:dyDescent="0.2">
      <c r="B24" s="2" t="s">
        <v>20</v>
      </c>
      <c r="C24" s="8">
        <v>400</v>
      </c>
      <c r="E24" s="8">
        <f t="shared" si="3"/>
        <v>400</v>
      </c>
    </row>
    <row r="25" spans="2:7" ht="15.75" customHeight="1" x14ac:dyDescent="0.2">
      <c r="E25" s="8">
        <f>SUM(E18:E24)</f>
        <v>20648.8</v>
      </c>
      <c r="F25" s="2" t="s">
        <v>21</v>
      </c>
    </row>
    <row r="26" spans="2:7" ht="15.75" customHeight="1" x14ac:dyDescent="0.2">
      <c r="E26" s="6">
        <f>SUM(E16:E24)+F16</f>
        <v>27698.799999999999</v>
      </c>
      <c r="G26" s="10">
        <f>E26-D12</f>
        <v>-224.49411764706019</v>
      </c>
    </row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7"/>
  <sheetViews>
    <sheetView workbookViewId="0"/>
  </sheetViews>
  <sheetFormatPr baseColWidth="10" defaultColWidth="11.1640625" defaultRowHeight="15" customHeight="1" x14ac:dyDescent="0.2"/>
  <cols>
    <col min="2" max="2" width="17.5" customWidth="1"/>
  </cols>
  <sheetData>
    <row r="2" spans="2:3" x14ac:dyDescent="0.2">
      <c r="B2" s="2">
        <v>30117</v>
      </c>
      <c r="C2" s="4" t="s">
        <v>22</v>
      </c>
    </row>
    <row r="5" spans="2:3" x14ac:dyDescent="0.2">
      <c r="B5" s="1" t="s">
        <v>1</v>
      </c>
      <c r="C5" s="1" t="s">
        <v>2</v>
      </c>
    </row>
    <row r="6" spans="2:3" x14ac:dyDescent="0.2">
      <c r="B6" s="4" t="s">
        <v>23</v>
      </c>
    </row>
    <row r="7" spans="2:3" x14ac:dyDescent="0.2">
      <c r="B7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Coskun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Baris Can Ustundag</dc:creator>
  <cp:lastModifiedBy>Baris Can Ustundag</cp:lastModifiedBy>
  <dcterms:created xsi:type="dcterms:W3CDTF">2025-11-25T15:25:30Z</dcterms:created>
  <dcterms:modified xsi:type="dcterms:W3CDTF">2026-04-29T13:45:06Z</dcterms:modified>
</cp:coreProperties>
</file>