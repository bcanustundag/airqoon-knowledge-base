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bcan/Library/CloudStorage/GoogleDrive-bcanustundag@gmail.com/My Drive/Inovatink/Works/Companies/airqoon/Partners/UlkuAlverSahin/Balikligol/"/>
    </mc:Choice>
  </mc:AlternateContent>
  <xr:revisionPtr revIDLastSave="0" documentId="13_ncr:1_{BE0BF0D4-7294-774E-BC33-56FDF81545B1}" xr6:coauthVersionLast="47" xr6:coauthVersionMax="47" xr10:uidLastSave="{00000000-0000-0000-0000-000000000000}"/>
  <bookViews>
    <workbookView xWindow="0" yWindow="760" windowWidth="30240" windowHeight="18880" firstSheet="1" activeTab="9" xr2:uid="{00000000-000D-0000-FFFF-FFFF00000000}"/>
  </bookViews>
  <sheets>
    <sheet name="ResearchAndDevCost" sheetId="1" r:id="rId1"/>
    <sheet name="BOMCost" sheetId="2" r:id="rId2"/>
    <sheet name="SupportCost" sheetId="3" r:id="rId3"/>
    <sheet name="COGS" sheetId="4" r:id="rId4"/>
    <sheet name="Total Costs" sheetId="5" r:id="rId5"/>
    <sheet name="Sensor Costs" sheetId="12" r:id="rId6"/>
    <sheet name="nextpm-check" sheetId="15" r:id="rId7"/>
    <sheet name="Annual Services Costs" sheetId="17" r:id="rId8"/>
    <sheet name="Sensor Box Prices" sheetId="18" r:id="rId9"/>
    <sheet name="Prices" sheetId="13" r:id="rId10"/>
    <sheet name="Prices-custom" sheetId="16" r:id="rId11"/>
    <sheet name="Models" sheetId="14" r:id="rId12"/>
    <sheet name="Live-currencies" sheetId="10" r:id="rId13"/>
  </sheets>
  <definedNames>
    <definedName name="_xlnm.Print_Area" localSheetId="11">Models!#REF!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12" l="1"/>
  <c r="F37" i="12" s="1"/>
  <c r="G37" i="12" s="1"/>
  <c r="E36" i="12"/>
  <c r="F36" i="12" s="1"/>
  <c r="G36" i="12" s="1"/>
  <c r="J25" i="18"/>
  <c r="J26" i="18"/>
  <c r="J27" i="18"/>
  <c r="J28" i="18"/>
  <c r="J24" i="18"/>
  <c r="F28" i="18"/>
  <c r="F27" i="18"/>
  <c r="F26" i="18"/>
  <c r="F25" i="18"/>
  <c r="F24" i="18"/>
  <c r="G19" i="18"/>
  <c r="D14" i="18"/>
  <c r="C28" i="18" s="1"/>
  <c r="D25" i="18"/>
  <c r="D21" i="18"/>
  <c r="H25" i="18" l="1"/>
  <c r="G28" i="18"/>
  <c r="D26" i="18"/>
  <c r="H26" i="18" s="1"/>
  <c r="C24" i="18"/>
  <c r="E24" i="18" s="1"/>
  <c r="C25" i="18"/>
  <c r="C26" i="18"/>
  <c r="G26" i="18" s="1"/>
  <c r="C27" i="18"/>
  <c r="G27" i="18" s="1"/>
  <c r="E25" i="18" l="1"/>
  <c r="G25" i="18"/>
  <c r="G24" i="18"/>
  <c r="D27" i="18"/>
  <c r="H27" i="18" s="1"/>
  <c r="E26" i="18"/>
  <c r="D28" i="18" l="1"/>
  <c r="E27" i="18"/>
  <c r="D12" i="17"/>
  <c r="F14" i="17"/>
  <c r="D14" i="17"/>
  <c r="D13" i="17"/>
  <c r="F13" i="17"/>
  <c r="F9" i="17"/>
  <c r="F10" i="17"/>
  <c r="D15" i="17"/>
  <c r="D11" i="17"/>
  <c r="D9" i="17"/>
  <c r="J128" i="12"/>
  <c r="H17" i="16"/>
  <c r="D17" i="16"/>
  <c r="H16" i="16"/>
  <c r="D16" i="16"/>
  <c r="H15" i="16"/>
  <c r="D15" i="16"/>
  <c r="K14" i="16"/>
  <c r="H14" i="16"/>
  <c r="D14" i="16"/>
  <c r="H13" i="16"/>
  <c r="D13" i="16"/>
  <c r="H5" i="16"/>
  <c r="H4" i="16"/>
  <c r="E134" i="12"/>
  <c r="F134" i="12" s="1"/>
  <c r="M8" i="15"/>
  <c r="L8" i="15"/>
  <c r="N8" i="15" s="1"/>
  <c r="L10" i="15"/>
  <c r="K10" i="15"/>
  <c r="J10" i="15"/>
  <c r="H10" i="15"/>
  <c r="G10" i="15"/>
  <c r="F10" i="15"/>
  <c r="E28" i="18" l="1"/>
  <c r="H28" i="18"/>
  <c r="F128" i="12"/>
  <c r="G128" i="12" s="1"/>
  <c r="G134" i="12"/>
  <c r="M10" i="15"/>
  <c r="N10" i="15" s="1"/>
  <c r="O9" i="15" s="1"/>
  <c r="E124" i="12"/>
  <c r="F124" i="12" s="1"/>
  <c r="G124" i="12" s="1"/>
  <c r="E21" i="12"/>
  <c r="F21" i="12" s="1"/>
  <c r="G21" i="12" s="1"/>
  <c r="E20" i="12"/>
  <c r="F20" i="12" s="1"/>
  <c r="G20" i="12" s="1"/>
  <c r="E22" i="12"/>
  <c r="F22" i="12" s="1"/>
  <c r="G22" i="12" s="1"/>
  <c r="E19" i="12"/>
  <c r="F19" i="12" s="1"/>
  <c r="G19" i="12" s="1"/>
  <c r="E18" i="12"/>
  <c r="F18" i="12" s="1"/>
  <c r="G18" i="12" s="1"/>
  <c r="E17" i="12"/>
  <c r="F17" i="12" s="1"/>
  <c r="G17" i="12" s="1"/>
  <c r="E16" i="12"/>
  <c r="F16" i="12" s="1"/>
  <c r="G16" i="12" s="1"/>
  <c r="E15" i="12"/>
  <c r="F15" i="12" s="1"/>
  <c r="G15" i="12" s="1"/>
  <c r="E14" i="12"/>
  <c r="F14" i="12" s="1"/>
  <c r="G14" i="12" s="1"/>
  <c r="E33" i="12"/>
  <c r="F33" i="12" s="1"/>
  <c r="G33" i="12" s="1"/>
  <c r="E32" i="12"/>
  <c r="F32" i="12" s="1"/>
  <c r="G32" i="12" s="1"/>
  <c r="E31" i="12"/>
  <c r="F31" i="12" s="1"/>
  <c r="G31" i="12" s="1"/>
  <c r="E30" i="12"/>
  <c r="F30" i="12" s="1"/>
  <c r="G30" i="12" s="1"/>
  <c r="E29" i="12"/>
  <c r="F29" i="12" s="1"/>
  <c r="G29" i="12" s="1"/>
  <c r="E28" i="12"/>
  <c r="F28" i="12" s="1"/>
  <c r="G28" i="12" s="1"/>
  <c r="E27" i="12"/>
  <c r="F27" i="12" s="1"/>
  <c r="G27" i="12" s="1"/>
  <c r="E26" i="12"/>
  <c r="F26" i="12" s="1"/>
  <c r="E25" i="12"/>
  <c r="F25" i="12" s="1"/>
  <c r="G25" i="12" s="1"/>
  <c r="E44" i="12"/>
  <c r="F44" i="12" s="1"/>
  <c r="G44" i="12" s="1"/>
  <c r="D46" i="12"/>
  <c r="E46" i="12" s="1"/>
  <c r="F46" i="12" s="1"/>
  <c r="G46" i="12" s="1"/>
  <c r="E45" i="12"/>
  <c r="F45" i="12" s="1"/>
  <c r="G45" i="12" s="1"/>
  <c r="E43" i="12"/>
  <c r="F43" i="12" s="1"/>
  <c r="G43" i="12" s="1"/>
  <c r="E42" i="12"/>
  <c r="F42" i="12" s="1"/>
  <c r="G42" i="12" s="1"/>
  <c r="E41" i="12"/>
  <c r="F41" i="12" s="1"/>
  <c r="G41" i="12" s="1"/>
  <c r="E40" i="12"/>
  <c r="F40" i="12" s="1"/>
  <c r="G40" i="12" s="1"/>
  <c r="D54" i="12"/>
  <c r="E54" i="12" s="1"/>
  <c r="F54" i="12" s="1"/>
  <c r="G54" i="12" s="1"/>
  <c r="E52" i="12"/>
  <c r="F52" i="12" s="1"/>
  <c r="G52" i="12" s="1"/>
  <c r="E53" i="12"/>
  <c r="F53" i="12" s="1"/>
  <c r="G53" i="12" s="1"/>
  <c r="E51" i="12"/>
  <c r="F51" i="12" s="1"/>
  <c r="G51" i="12" s="1"/>
  <c r="E50" i="12"/>
  <c r="F50" i="12" s="1"/>
  <c r="G50" i="12" s="1"/>
  <c r="E49" i="12"/>
  <c r="H20" i="13"/>
  <c r="H21" i="13"/>
  <c r="H22" i="13"/>
  <c r="H23" i="13"/>
  <c r="H19" i="13"/>
  <c r="D20" i="13"/>
  <c r="D21" i="13"/>
  <c r="D22" i="13"/>
  <c r="D23" i="13"/>
  <c r="D19" i="13"/>
  <c r="H5" i="13"/>
  <c r="H6" i="13"/>
  <c r="H8" i="13"/>
  <c r="H9" i="13"/>
  <c r="H4" i="13"/>
  <c r="E60" i="12"/>
  <c r="F60" i="12" s="1"/>
  <c r="G60" i="12" s="1"/>
  <c r="E59" i="12"/>
  <c r="F59" i="12" s="1"/>
  <c r="G59" i="12" s="1"/>
  <c r="E58" i="12"/>
  <c r="F58" i="12" s="1"/>
  <c r="G58" i="12" s="1"/>
  <c r="E57" i="12"/>
  <c r="F57" i="12" s="1"/>
  <c r="G57" i="12" s="1"/>
  <c r="E9" i="12"/>
  <c r="F9" i="12" s="1"/>
  <c r="G9" i="12" s="1"/>
  <c r="E10" i="12"/>
  <c r="F10" i="12" s="1"/>
  <c r="G10" i="12" s="1"/>
  <c r="D8" i="12"/>
  <c r="E8" i="12" s="1"/>
  <c r="F8" i="12" s="1"/>
  <c r="G8" i="12" s="1"/>
  <c r="E70" i="12"/>
  <c r="F70" i="12" s="1"/>
  <c r="G70" i="12" s="1"/>
  <c r="E69" i="12"/>
  <c r="F69" i="12" s="1"/>
  <c r="G69" i="12" s="1"/>
  <c r="D68" i="12"/>
  <c r="E68" i="12" s="1"/>
  <c r="F68" i="12" s="1"/>
  <c r="G68" i="12" s="1"/>
  <c r="D67" i="12"/>
  <c r="E67" i="12" s="1"/>
  <c r="F67" i="12" s="1"/>
  <c r="G67" i="12" s="1"/>
  <c r="E65" i="12"/>
  <c r="F65" i="12" s="1"/>
  <c r="G65" i="12" s="1"/>
  <c r="E66" i="12"/>
  <c r="F66" i="12" s="1"/>
  <c r="G66" i="12" s="1"/>
  <c r="D64" i="12"/>
  <c r="E64" i="12" s="1"/>
  <c r="F64" i="12" s="1"/>
  <c r="G64" i="12" s="1"/>
  <c r="E63" i="12"/>
  <c r="F63" i="12" s="1"/>
  <c r="G63" i="12" s="1"/>
  <c r="D62" i="12"/>
  <c r="E62" i="12" s="1"/>
  <c r="F62" i="12" s="1"/>
  <c r="G62" i="12" s="1"/>
  <c r="D61" i="12"/>
  <c r="E61" i="12" s="1"/>
  <c r="F61" i="12" s="1"/>
  <c r="G61" i="12" s="1"/>
  <c r="G26" i="12" l="1"/>
  <c r="J124" i="12"/>
  <c r="J14" i="12"/>
  <c r="J16" i="12"/>
  <c r="J17" i="12"/>
  <c r="J18" i="12"/>
  <c r="F49" i="12"/>
  <c r="G49" i="12" s="1"/>
  <c r="J15" i="12"/>
  <c r="J22" i="12"/>
  <c r="J19" i="12"/>
  <c r="E75" i="12"/>
  <c r="F75" i="12" s="1"/>
  <c r="G75" i="12" s="1"/>
  <c r="E74" i="12"/>
  <c r="F74" i="12" s="1"/>
  <c r="G74" i="12" s="1"/>
  <c r="E81" i="12"/>
  <c r="F81" i="12" s="1"/>
  <c r="G81" i="12" s="1"/>
  <c r="E80" i="12"/>
  <c r="F80" i="12" s="1"/>
  <c r="G80" i="12" s="1"/>
  <c r="E79" i="12"/>
  <c r="F79" i="12" s="1"/>
  <c r="G79" i="12" s="1"/>
  <c r="D34" i="4"/>
  <c r="D36" i="4"/>
  <c r="E87" i="12"/>
  <c r="F87" i="12" s="1"/>
  <c r="G87" i="12" s="1"/>
  <c r="I65" i="12"/>
  <c r="E86" i="12"/>
  <c r="F86" i="12" s="1"/>
  <c r="G86" i="12" s="1"/>
  <c r="E85" i="12"/>
  <c r="F85" i="12" s="1"/>
  <c r="G85" i="12" s="1"/>
  <c r="E84" i="12"/>
  <c r="F84" i="12" s="1"/>
  <c r="G84" i="12" s="1"/>
  <c r="I76" i="12"/>
  <c r="D92" i="12" s="1"/>
  <c r="E92" i="12" s="1"/>
  <c r="F92" i="12" s="1"/>
  <c r="G92" i="12" s="1"/>
  <c r="E91" i="12"/>
  <c r="F91" i="12" s="1"/>
  <c r="G91" i="12" s="1"/>
  <c r="E90" i="12"/>
  <c r="F90" i="12" s="1"/>
  <c r="G90" i="12" s="1"/>
  <c r="E99" i="12"/>
  <c r="F99" i="12" s="1"/>
  <c r="G99" i="12" s="1"/>
  <c r="E98" i="12"/>
  <c r="F98" i="12" s="1"/>
  <c r="G98" i="12" s="1"/>
  <c r="E97" i="12"/>
  <c r="F97" i="12" s="1"/>
  <c r="G97" i="12" s="1"/>
  <c r="E96" i="12"/>
  <c r="F96" i="12" s="1"/>
  <c r="G96" i="12" s="1"/>
  <c r="E108" i="12"/>
  <c r="F108" i="12" s="1"/>
  <c r="G108" i="12" s="1"/>
  <c r="E109" i="12"/>
  <c r="F109" i="12" s="1"/>
  <c r="G109" i="12" s="1"/>
  <c r="K4" i="13" l="1"/>
  <c r="K4" i="16"/>
  <c r="J23" i="12"/>
  <c r="G8" i="5"/>
  <c r="F137" i="12"/>
  <c r="G137" i="12" s="1"/>
  <c r="E105" i="12" l="1"/>
  <c r="F105" i="12" s="1"/>
  <c r="G105" i="12" s="1"/>
  <c r="I77" i="12"/>
  <c r="D93" i="12" s="1"/>
  <c r="E93" i="12" s="1"/>
  <c r="F93" i="12" s="1"/>
  <c r="G93" i="12" s="1"/>
  <c r="E104" i="12"/>
  <c r="F104" i="12" s="1"/>
  <c r="G104" i="12" s="1"/>
  <c r="E103" i="12"/>
  <c r="F103" i="12" s="1"/>
  <c r="G103" i="12" s="1"/>
  <c r="E102" i="12"/>
  <c r="F102" i="12" s="1"/>
  <c r="G102" i="12" s="1"/>
  <c r="F140" i="12"/>
  <c r="G140" i="12" s="1"/>
  <c r="F144" i="12"/>
  <c r="G144" i="12" s="1"/>
  <c r="M37" i="2" l="1"/>
  <c r="M38" i="2" s="1"/>
  <c r="L37" i="2"/>
  <c r="M35" i="2"/>
  <c r="M34" i="2"/>
  <c r="M32" i="2"/>
  <c r="M31" i="2"/>
  <c r="M27" i="2"/>
  <c r="M28" i="2"/>
  <c r="M26" i="2"/>
  <c r="D7" i="4" l="1"/>
  <c r="G11" i="2"/>
  <c r="L13" i="2" l="1"/>
  <c r="L21" i="2"/>
  <c r="I21" i="2"/>
  <c r="J21" i="2" s="1"/>
  <c r="K21" i="2" s="1"/>
  <c r="P21" i="2" s="1"/>
  <c r="I23" i="2"/>
  <c r="N23" i="2" s="1"/>
  <c r="L19" i="2"/>
  <c r="L23" i="2"/>
  <c r="I19" i="2"/>
  <c r="J19" i="2" s="1"/>
  <c r="K19" i="2" s="1"/>
  <c r="P19" i="2" s="1"/>
  <c r="I13" i="2"/>
  <c r="J13" i="2" s="1"/>
  <c r="K13" i="2" s="1"/>
  <c r="P13" i="2" s="1"/>
  <c r="E116" i="12"/>
  <c r="F116" i="12" s="1"/>
  <c r="G116" i="12" s="1"/>
  <c r="K5" i="16" s="1"/>
  <c r="E150" i="12"/>
  <c r="F150" i="12" s="1"/>
  <c r="E110" i="12"/>
  <c r="F110" i="12" s="1"/>
  <c r="G110" i="12" s="1"/>
  <c r="E111" i="12"/>
  <c r="F111" i="12" s="1"/>
  <c r="G111" i="12" s="1"/>
  <c r="E112" i="12"/>
  <c r="F112" i="12" s="1"/>
  <c r="G112" i="12" s="1"/>
  <c r="E113" i="12"/>
  <c r="F113" i="12" s="1"/>
  <c r="G113" i="12" s="1"/>
  <c r="E114" i="12"/>
  <c r="F114" i="12" s="1"/>
  <c r="G114" i="12" s="1"/>
  <c r="E115" i="12"/>
  <c r="F115" i="12" s="1"/>
  <c r="G115" i="12" s="1"/>
  <c r="E117" i="12"/>
  <c r="F117" i="12" s="1"/>
  <c r="G117" i="12" s="1"/>
  <c r="E118" i="12"/>
  <c r="F118" i="12" s="1"/>
  <c r="G118" i="12" s="1"/>
  <c r="E119" i="12"/>
  <c r="F119" i="12" s="1"/>
  <c r="G119" i="12" s="1"/>
  <c r="G19" i="4"/>
  <c r="F19" i="4"/>
  <c r="E19" i="4"/>
  <c r="D19" i="4"/>
  <c r="P37" i="2"/>
  <c r="O37" i="2"/>
  <c r="N37" i="2"/>
  <c r="K6" i="13" l="1"/>
  <c r="K20" i="13" s="1"/>
  <c r="K5" i="13"/>
  <c r="N21" i="2"/>
  <c r="O21" i="2"/>
  <c r="N13" i="2"/>
  <c r="O13" i="2"/>
  <c r="N19" i="2"/>
  <c r="J23" i="2"/>
  <c r="O19" i="2"/>
  <c r="L12" i="2"/>
  <c r="I12" i="2"/>
  <c r="N12" i="2" s="1"/>
  <c r="O23" i="2" l="1"/>
  <c r="K23" i="2"/>
  <c r="P23" i="2" s="1"/>
  <c r="J12" i="2"/>
  <c r="O12" i="2" l="1"/>
  <c r="K12" i="2"/>
  <c r="P12" i="2" s="1"/>
  <c r="G11" i="5" l="1"/>
  <c r="G6" i="5"/>
  <c r="G7" i="5" s="1"/>
  <c r="F6" i="5"/>
  <c r="F7" i="5" s="1"/>
  <c r="E6" i="5"/>
  <c r="E7" i="5" s="1"/>
  <c r="D6" i="5"/>
  <c r="D7" i="5" s="1"/>
  <c r="C6" i="5"/>
  <c r="C7" i="5" s="1"/>
  <c r="B6" i="5"/>
  <c r="B7" i="5" s="1"/>
  <c r="B20" i="5" s="1"/>
  <c r="C25" i="14" s="1"/>
  <c r="G22" i="4"/>
  <c r="G29" i="4" s="1"/>
  <c r="I19" i="4"/>
  <c r="E22" i="4"/>
  <c r="E29" i="4" s="1"/>
  <c r="D22" i="4"/>
  <c r="D29" i="4" s="1"/>
  <c r="I18" i="4"/>
  <c r="F17" i="4"/>
  <c r="I17" i="4" s="1"/>
  <c r="I16" i="4"/>
  <c r="G11" i="4"/>
  <c r="G28" i="4" s="1"/>
  <c r="F11" i="4"/>
  <c r="F28" i="4" s="1"/>
  <c r="E11" i="4"/>
  <c r="E28" i="4" s="1"/>
  <c r="D11" i="4"/>
  <c r="D28" i="4" s="1"/>
  <c r="I8" i="4"/>
  <c r="I7" i="4"/>
  <c r="I6" i="4"/>
  <c r="I5" i="4"/>
  <c r="I4" i="4"/>
  <c r="P38" i="2"/>
  <c r="O38" i="2"/>
  <c r="N38" i="2"/>
  <c r="L38" i="2"/>
  <c r="L18" i="2"/>
  <c r="L17" i="2"/>
  <c r="I17" i="2"/>
  <c r="N17" i="2" s="1"/>
  <c r="L16" i="2"/>
  <c r="I16" i="2"/>
  <c r="J16" i="2" s="1"/>
  <c r="L15" i="2"/>
  <c r="I15" i="2"/>
  <c r="N15" i="2" s="1"/>
  <c r="L11" i="2"/>
  <c r="L10" i="2"/>
  <c r="I10" i="2"/>
  <c r="J10" i="2" s="1"/>
  <c r="O10" i="2" s="1"/>
  <c r="L9" i="2"/>
  <c r="L31" i="2" s="1"/>
  <c r="I9" i="2"/>
  <c r="N9" i="2" s="1"/>
  <c r="L5" i="1"/>
  <c r="E4" i="3" s="1"/>
  <c r="E8" i="3" s="1"/>
  <c r="I5" i="1"/>
  <c r="F30" i="1" s="1"/>
  <c r="G31" i="4" l="1"/>
  <c r="D31" i="4"/>
  <c r="E31" i="4"/>
  <c r="L34" i="2"/>
  <c r="L35" i="2" s="1"/>
  <c r="E34" i="4" s="1"/>
  <c r="L32" i="2"/>
  <c r="D35" i="4" s="1"/>
  <c r="L26" i="2"/>
  <c r="L28" i="2" s="1"/>
  <c r="F41" i="1"/>
  <c r="F8" i="1"/>
  <c r="F15" i="1"/>
  <c r="F17" i="1"/>
  <c r="F6" i="1"/>
  <c r="F19" i="1"/>
  <c r="F34" i="1"/>
  <c r="J15" i="2"/>
  <c r="K15" i="2" s="1"/>
  <c r="P15" i="2" s="1"/>
  <c r="N10" i="2"/>
  <c r="J9" i="2"/>
  <c r="I11" i="4"/>
  <c r="J17" i="2"/>
  <c r="K17" i="2" s="1"/>
  <c r="P17" i="2" s="1"/>
  <c r="F4" i="1"/>
  <c r="F28" i="1"/>
  <c r="I11" i="2"/>
  <c r="J11" i="2" s="1"/>
  <c r="O11" i="2" s="1"/>
  <c r="I18" i="2"/>
  <c r="J18" i="2" s="1"/>
  <c r="F22" i="4"/>
  <c r="F29" i="4" s="1"/>
  <c r="I29" i="4" s="1"/>
  <c r="I28" i="4"/>
  <c r="N16" i="2"/>
  <c r="F31" i="4"/>
  <c r="I31" i="4" s="1"/>
  <c r="O16" i="2"/>
  <c r="K16" i="2"/>
  <c r="P16" i="2" s="1"/>
  <c r="K10" i="2"/>
  <c r="P10" i="2" s="1"/>
  <c r="F40" i="1"/>
  <c r="F33" i="1"/>
  <c r="F29" i="1"/>
  <c r="F22" i="1"/>
  <c r="F18" i="1"/>
  <c r="F7" i="1"/>
  <c r="F5" i="1"/>
  <c r="F42" i="1"/>
  <c r="F31" i="1"/>
  <c r="F27" i="1"/>
  <c r="F20" i="1"/>
  <c r="F16" i="1"/>
  <c r="F9" i="1"/>
  <c r="F10" i="1"/>
  <c r="F21" i="1"/>
  <c r="F32" i="1"/>
  <c r="F43" i="1"/>
  <c r="I22" i="4"/>
  <c r="N18" i="2" l="1"/>
  <c r="N11" i="2"/>
  <c r="K11" i="2"/>
  <c r="P11" i="2" s="1"/>
  <c r="O15" i="2"/>
  <c r="D29" i="5"/>
  <c r="C29" i="5"/>
  <c r="B29" i="5"/>
  <c r="E29" i="5"/>
  <c r="C27" i="5"/>
  <c r="B27" i="5"/>
  <c r="E27" i="5"/>
  <c r="D27" i="5"/>
  <c r="F11" i="1"/>
  <c r="O17" i="2"/>
  <c r="O18" i="2"/>
  <c r="K18" i="2"/>
  <c r="P18" i="2" s="1"/>
  <c r="F23" i="1"/>
  <c r="K9" i="2"/>
  <c r="P9" i="2" s="1"/>
  <c r="O9" i="2"/>
  <c r="O31" i="2" s="1"/>
  <c r="L27" i="2"/>
  <c r="E35" i="4"/>
  <c r="F35" i="1"/>
  <c r="F44" i="1"/>
  <c r="P31" i="2" l="1"/>
  <c r="N31" i="2"/>
  <c r="N32" i="2" s="1"/>
  <c r="P34" i="2"/>
  <c r="P35" i="2" s="1"/>
  <c r="P26" i="2"/>
  <c r="O26" i="2"/>
  <c r="O34" i="2"/>
  <c r="O35" i="2" s="1"/>
  <c r="G34" i="4" s="1"/>
  <c r="N26" i="2"/>
  <c r="N27" i="2" s="1"/>
  <c r="N34" i="2"/>
  <c r="N35" i="2" s="1"/>
  <c r="F34" i="4" s="1"/>
  <c r="I34" i="4" s="1"/>
  <c r="F36" i="1"/>
  <c r="O32" i="2"/>
  <c r="I33" i="4"/>
  <c r="I32" i="4"/>
  <c r="F45" i="1"/>
  <c r="C20" i="5"/>
  <c r="D25" i="14" s="1"/>
  <c r="C10" i="5"/>
  <c r="E30" i="4"/>
  <c r="D30" i="4"/>
  <c r="E20" i="5"/>
  <c r="F25" i="14" s="1"/>
  <c r="E10" i="5"/>
  <c r="E11" i="5" s="1"/>
  <c r="D20" i="5"/>
  <c r="E25" i="14" s="1"/>
  <c r="D10" i="5"/>
  <c r="D11" i="5" s="1"/>
  <c r="B10" i="5"/>
  <c r="B11" i="5" s="1"/>
  <c r="C11" i="5" l="1"/>
  <c r="E12" i="14"/>
  <c r="E13" i="14"/>
  <c r="E24" i="14" s="1"/>
  <c r="E26" i="14" s="1"/>
  <c r="E14" i="14"/>
  <c r="E15" i="14"/>
  <c r="D13" i="14"/>
  <c r="D12" i="14"/>
  <c r="D14" i="14"/>
  <c r="D24" i="14" s="1"/>
  <c r="D26" i="14" s="1"/>
  <c r="D15" i="14"/>
  <c r="C13" i="14"/>
  <c r="C14" i="14"/>
  <c r="C15" i="14"/>
  <c r="C12" i="14"/>
  <c r="F12" i="14"/>
  <c r="F13" i="14"/>
  <c r="F24" i="14" s="1"/>
  <c r="F26" i="14" s="1"/>
  <c r="F14" i="14"/>
  <c r="F15" i="14"/>
  <c r="F35" i="4"/>
  <c r="I35" i="4" s="1"/>
  <c r="F27" i="5"/>
  <c r="F29" i="5"/>
  <c r="F20" i="5"/>
  <c r="G25" i="14" s="1"/>
  <c r="F10" i="5"/>
  <c r="F11" i="5" s="1"/>
  <c r="N28" i="2"/>
  <c r="F30" i="4" s="1"/>
  <c r="I30" i="4" s="1"/>
  <c r="G35" i="4"/>
  <c r="P28" i="2"/>
  <c r="D40" i="4"/>
  <c r="D38" i="4" s="1"/>
  <c r="P32" i="2"/>
  <c r="O27" i="2"/>
  <c r="P27" i="2"/>
  <c r="E40" i="4"/>
  <c r="D3" i="5" s="1"/>
  <c r="D12" i="5" s="1"/>
  <c r="C24" i="14" l="1"/>
  <c r="C26" i="14" s="1"/>
  <c r="E5" i="14"/>
  <c r="E6" i="14"/>
  <c r="E7" i="14"/>
  <c r="E8" i="14"/>
  <c r="G12" i="14"/>
  <c r="G24" i="14" s="1"/>
  <c r="G26" i="14" s="1"/>
  <c r="G13" i="14"/>
  <c r="G14" i="14"/>
  <c r="G15" i="14"/>
  <c r="I40" i="4"/>
  <c r="F40" i="4"/>
  <c r="F38" i="4" s="1"/>
  <c r="O28" i="2"/>
  <c r="G30" i="4" s="1"/>
  <c r="G40" i="4" s="1"/>
  <c r="G38" i="4" s="1"/>
  <c r="B3" i="5"/>
  <c r="E38" i="4"/>
  <c r="B12" i="5" l="1"/>
  <c r="E20" i="14"/>
  <c r="E33" i="14"/>
  <c r="E22" i="14"/>
  <c r="E35" i="14"/>
  <c r="E21" i="14"/>
  <c r="E34" i="14"/>
  <c r="E19" i="14"/>
  <c r="E32" i="14"/>
  <c r="F3" i="5"/>
  <c r="F12" i="5" s="1"/>
  <c r="C3" i="5"/>
  <c r="C12" i="5" s="1"/>
  <c r="D17" i="5"/>
  <c r="C8" i="14" l="1"/>
  <c r="D4" i="16" s="1"/>
  <c r="C4" i="13"/>
  <c r="C4" i="16"/>
  <c r="B17" i="5"/>
  <c r="C7" i="14"/>
  <c r="C21" i="14" s="1"/>
  <c r="C6" i="14"/>
  <c r="C33" i="14" s="1"/>
  <c r="C5" i="14"/>
  <c r="C32" i="14" s="1"/>
  <c r="C35" i="14"/>
  <c r="C22" i="14"/>
  <c r="D4" i="13"/>
  <c r="E4" i="13" s="1"/>
  <c r="C20" i="14"/>
  <c r="D6" i="14"/>
  <c r="D7" i="14"/>
  <c r="D8" i="14"/>
  <c r="D5" i="14"/>
  <c r="E3" i="5"/>
  <c r="E12" i="5" s="1"/>
  <c r="G3" i="5"/>
  <c r="C17" i="5"/>
  <c r="C11" i="13" l="1"/>
  <c r="C10" i="13"/>
  <c r="G4" i="13"/>
  <c r="C7" i="13"/>
  <c r="E7" i="13" s="1"/>
  <c r="C5" i="13"/>
  <c r="G4" i="16"/>
  <c r="C5" i="16"/>
  <c r="G5" i="16" s="1"/>
  <c r="E4" i="16"/>
  <c r="D5" i="16"/>
  <c r="D5" i="13"/>
  <c r="D6" i="13"/>
  <c r="D9" i="13"/>
  <c r="D8" i="13"/>
  <c r="C34" i="14"/>
  <c r="C19" i="14"/>
  <c r="D19" i="14"/>
  <c r="D32" i="14"/>
  <c r="D22" i="14"/>
  <c r="D35" i="14"/>
  <c r="D21" i="14"/>
  <c r="D34" i="14"/>
  <c r="D20" i="14"/>
  <c r="D33" i="14"/>
  <c r="G8" i="14"/>
  <c r="G6" i="14"/>
  <c r="G5" i="14"/>
  <c r="G7" i="14"/>
  <c r="F17" i="5"/>
  <c r="C6" i="13" l="1"/>
  <c r="G5" i="13"/>
  <c r="E6" i="13"/>
  <c r="E5" i="13"/>
  <c r="E5" i="16"/>
  <c r="D11" i="13"/>
  <c r="E10" i="13"/>
  <c r="G22" i="14"/>
  <c r="G35" i="14"/>
  <c r="G21" i="14"/>
  <c r="G34" i="14"/>
  <c r="G20" i="14"/>
  <c r="G33" i="14"/>
  <c r="G19" i="14"/>
  <c r="G32" i="14"/>
  <c r="F6" i="14"/>
  <c r="F8" i="14"/>
  <c r="F7" i="14"/>
  <c r="F5" i="14"/>
  <c r="E17" i="5"/>
  <c r="G6" i="13" l="1"/>
  <c r="C8" i="13"/>
  <c r="F22" i="14"/>
  <c r="F35" i="14"/>
  <c r="F21" i="14"/>
  <c r="F34" i="14"/>
  <c r="F20" i="14"/>
  <c r="F33" i="14"/>
  <c r="F19" i="14"/>
  <c r="F32" i="14"/>
  <c r="C9" i="13" l="1"/>
  <c r="G8" i="13"/>
  <c r="E8" i="13"/>
  <c r="G9" i="13" l="1"/>
  <c r="E9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792AF8-F615-4B1C-AD19-77281E50DF25}" keepAlive="1" name="Query - Table 1" description="Connection to the 'Table 1' query in the workbook." type="5" refreshedVersion="6" background="1" saveData="1">
    <dbPr connection="Provider=Microsoft.Mashup.OleDb.1;Data Source=$Workbook$;Location=&quot;Table 1&quot;;Extended Properties=&quot;&quot;" command="SELECT * FROM [Table 1]"/>
  </connection>
  <connection id="2" xr16:uid="{56A20AA8-9882-450C-9760-8FDBFB93C364}" keepAlive="1" name="Query - Table_1" description="Connection to the 'Table_1' query in the workbook." type="5" refreshedVersion="6" background="1" saveData="1">
    <dbPr connection="Provider=Microsoft.Mashup.OleDb.1;Data Source=$Workbook$;Location=Table_1;Extended Properties=&quot;&quot;" command="SELECT * FROM [Table_1]"/>
  </connection>
</connections>
</file>

<file path=xl/sharedStrings.xml><?xml version="1.0" encoding="utf-8"?>
<sst xmlns="http://schemas.openxmlformats.org/spreadsheetml/2006/main" count="501" uniqueCount="308">
  <si>
    <t>Cost Item</t>
  </si>
  <si>
    <t>allocated resources in man/day</t>
  </si>
  <si>
    <t>component cost</t>
  </si>
  <si>
    <t>number of units</t>
  </si>
  <si>
    <t>total cost</t>
  </si>
  <si>
    <t>Core Hardware</t>
  </si>
  <si>
    <t>PCB Designer Wage + Overhead</t>
  </si>
  <si>
    <t xml:space="preserve"> Inovatink man/day</t>
  </si>
  <si>
    <t>SW Dev man/day</t>
  </si>
  <si>
    <t>Tests</t>
  </si>
  <si>
    <t>Prototyping -&gt; BOM + PCB + Integration</t>
  </si>
  <si>
    <t>Technical Documentation</t>
  </si>
  <si>
    <t>PCB (HW)</t>
  </si>
  <si>
    <t>BOM - Components</t>
  </si>
  <si>
    <t>Logistics, Operational Overhead</t>
  </si>
  <si>
    <t>Total:</t>
  </si>
  <si>
    <t>Peripheral Hardware</t>
  </si>
  <si>
    <t>PoC (Evaluation Modules)</t>
  </si>
  <si>
    <t>Smart City Sense</t>
  </si>
  <si>
    <t>subtotal (HW):</t>
  </si>
  <si>
    <t>Software</t>
  </si>
  <si>
    <t>Software Developer Wage + Overhead</t>
  </si>
  <si>
    <t>Overall:</t>
  </si>
  <si>
    <t>Airqoon BOM Cost</t>
  </si>
  <si>
    <t>Assembly Name :</t>
  </si>
  <si>
    <t>Airqoon</t>
  </si>
  <si>
    <t>[42]</t>
  </si>
  <si>
    <t>Assembly Number :</t>
  </si>
  <si>
    <t>Assembly Revision :</t>
  </si>
  <si>
    <t>1 -&gt; 1k (%)</t>
  </si>
  <si>
    <t>1k -&gt; 10k (%)</t>
  </si>
  <si>
    <t>10k -&gt; 20k (%)</t>
  </si>
  <si>
    <t>Pt #</t>
  </si>
  <si>
    <t>Part Name</t>
  </si>
  <si>
    <t>DigiKey Pt. No.</t>
  </si>
  <si>
    <t>Board</t>
  </si>
  <si>
    <t>Qty</t>
  </si>
  <si>
    <t>Supplier Web</t>
  </si>
  <si>
    <t>Unit Cost</t>
  </si>
  <si>
    <t>Unit Cost(1k)</t>
  </si>
  <si>
    <t>Unit Cost(10k)</t>
  </si>
  <si>
    <t>Unit Cost(20k)</t>
  </si>
  <si>
    <t>Cost (Single)</t>
  </si>
  <si>
    <t>Cost (1k)</t>
  </si>
  <si>
    <t>Cost (10k)</t>
  </si>
  <si>
    <t>Cost (20k)</t>
  </si>
  <si>
    <t>PM2.5</t>
  </si>
  <si>
    <t>BOM SensorBox</t>
  </si>
  <si>
    <t>Battery</t>
  </si>
  <si>
    <t>https://urun.n11.com/sarj-edilebilen-pil/panasonic-ncr18650b-37v-3400mah-li-ion-sarjli-pil-P107335109?gclid=Cj0KCQiA3dTQBRDnARIsAGKSflnsqduzgX_5Q6ZpAy8g7ChcntG3MRcp9TfPmRmMkBdA9apiIYLxwckaAtYrEALw_wcB&amp;gclsrc=aw.ds</t>
  </si>
  <si>
    <t>Solar Panel</t>
  </si>
  <si>
    <t>https://urun.n11.com/gunes-enerjisi/gunes-enerji-paneli-solar-6v-15w-P198769898</t>
  </si>
  <si>
    <t>altinkaya</t>
  </si>
  <si>
    <t>Comment:</t>
  </si>
  <si>
    <r>
      <t xml:space="preserve">Should we divide PCB - BOM - EMPA like:
- </t>
    </r>
    <r>
      <rPr>
        <sz val="10"/>
        <color rgb="FF75B5E4"/>
        <rFont val="Trebuchet MS"/>
        <family val="2"/>
      </rPr>
      <t>Blue</t>
    </r>
    <r>
      <rPr>
        <sz val="10"/>
        <color rgb="FF1C6294"/>
        <rFont val="Trebuchet MS"/>
        <family val="2"/>
      </rPr>
      <t>:</t>
    </r>
    <r>
      <rPr>
        <sz val="10"/>
        <rFont val="Trebuchet MS"/>
        <family val="2"/>
      </rPr>
      <t xml:space="preserve"> Sensor Box
- </t>
    </r>
    <r>
      <rPr>
        <sz val="10"/>
        <color rgb="FF00B050"/>
        <rFont val="Trebuchet MS"/>
        <family val="2"/>
      </rPr>
      <t>Green:</t>
    </r>
    <r>
      <rPr>
        <sz val="10"/>
        <rFont val="Trebuchet MS"/>
        <family val="2"/>
      </rPr>
      <t xml:space="preserve"> Core and Peripheral</t>
    </r>
  </si>
  <si>
    <t>Core BOM should be revised.</t>
  </si>
  <si>
    <t>unit bom cost:</t>
  </si>
  <si>
    <t>Sensor Box:</t>
  </si>
  <si>
    <t>unit SB bom cost:</t>
  </si>
  <si>
    <t>Core:</t>
  </si>
  <si>
    <t>unit Core bom cost:</t>
  </si>
  <si>
    <t>Peripheral</t>
  </si>
  <si>
    <t>Per. Bom cost:</t>
  </si>
  <si>
    <t>Airqoon - Support Cost</t>
  </si>
  <si>
    <t>month</t>
  </si>
  <si>
    <t>Software Developer for Support</t>
  </si>
  <si>
    <t>Airqoon - Cost of Goods Sold (COGS)</t>
  </si>
  <si>
    <r>
      <t xml:space="preserve">per device cost </t>
    </r>
    <r>
      <rPr>
        <b/>
        <sz val="14"/>
        <color rgb="FF000000"/>
        <rFont val="Tw Cen MT"/>
        <family val="2"/>
      </rPr>
      <t>(for 10)</t>
    </r>
  </si>
  <si>
    <r>
      <t xml:space="preserve">per device cost </t>
    </r>
    <r>
      <rPr>
        <b/>
        <sz val="14"/>
        <color rgb="FF000000"/>
        <rFont val="Tw Cen MT"/>
        <family val="2"/>
      </rPr>
      <t>(for 100)</t>
    </r>
  </si>
  <si>
    <r>
      <t xml:space="preserve">per device cost </t>
    </r>
    <r>
      <rPr>
        <b/>
        <sz val="14"/>
        <color rgb="FF000000"/>
        <rFont val="Tw Cen MT"/>
        <family val="2"/>
      </rPr>
      <t>(for 1k)</t>
    </r>
  </si>
  <si>
    <r>
      <t xml:space="preserve">per device cost </t>
    </r>
    <r>
      <rPr>
        <b/>
        <sz val="14"/>
        <color rgb="FF000000"/>
        <rFont val="Tw Cen MT"/>
        <family val="2"/>
      </rPr>
      <t>(for 10k)</t>
    </r>
  </si>
  <si>
    <t>Comments</t>
  </si>
  <si>
    <t>Manufacturing Cost</t>
  </si>
  <si>
    <t>PCB (Core)</t>
  </si>
  <si>
    <t>PCB (Peripheral)</t>
  </si>
  <si>
    <t>PCB (Sensor Box)</t>
  </si>
  <si>
    <t>Pick-n-Place (sum-up)</t>
  </si>
  <si>
    <t>subtotal:</t>
  </si>
  <si>
    <t>minimum shipment quantity</t>
  </si>
  <si>
    <r>
      <t xml:space="preserve">per device cost </t>
    </r>
    <r>
      <rPr>
        <b/>
        <sz val="14"/>
        <color rgb="FF000000"/>
        <rFont val="Tw Cen MT"/>
        <family val="2"/>
      </rPr>
      <t>(for 10)</t>
    </r>
  </si>
  <si>
    <r>
      <t xml:space="preserve">per device cost </t>
    </r>
    <r>
      <rPr>
        <b/>
        <sz val="14"/>
        <color rgb="FF000000"/>
        <rFont val="Tw Cen MT"/>
        <family val="2"/>
      </rPr>
      <t>(for 100)</t>
    </r>
  </si>
  <si>
    <r>
      <t xml:space="preserve">per device cost </t>
    </r>
    <r>
      <rPr>
        <b/>
        <sz val="14"/>
        <color rgb="FF000000"/>
        <rFont val="Tw Cen MT"/>
        <family val="2"/>
      </rPr>
      <t>(for 1k)</t>
    </r>
  </si>
  <si>
    <r>
      <t>per device cost</t>
    </r>
    <r>
      <rPr>
        <b/>
        <sz val="14"/>
        <color rgb="FF000000"/>
        <rFont val="Tw Cen MT"/>
        <family val="2"/>
      </rPr>
      <t xml:space="preserve"> (for 10k)</t>
    </r>
  </si>
  <si>
    <t>Logistics</t>
  </si>
  <si>
    <t>Transportation (China2Turkey)</t>
  </si>
  <si>
    <t>Shipping (Inovatink2Customer)</t>
  </si>
  <si>
    <t>Warehousing</t>
  </si>
  <si>
    <t>Customs</t>
  </si>
  <si>
    <t>(cost*0.2)usd + 1200TL</t>
  </si>
  <si>
    <r>
      <t xml:space="preserve">Percent of defected device among a </t>
    </r>
    <r>
      <rPr>
        <b/>
        <sz val="11"/>
        <color rgb="FF000000"/>
        <rFont val="Tw Cen MT"/>
        <family val="2"/>
      </rPr>
      <t>batch of 1k</t>
    </r>
  </si>
  <si>
    <r>
      <rPr>
        <b/>
        <sz val="11"/>
        <color rgb="FF000000"/>
        <rFont val="Tw Cen MT"/>
        <family val="2"/>
      </rPr>
      <t>number of devices</t>
    </r>
    <r>
      <rPr>
        <sz val="11"/>
        <color rgb="FF000000"/>
        <rFont val="Tw Cen MT"/>
        <family val="2"/>
      </rPr>
      <t xml:space="preserve"> which covers initial R&amp;D Cost</t>
    </r>
  </si>
  <si>
    <r>
      <t xml:space="preserve">per device cost </t>
    </r>
    <r>
      <rPr>
        <b/>
        <sz val="14"/>
        <color rgb="FF000000"/>
        <rFont val="Tw Cen MT"/>
        <family val="2"/>
      </rPr>
      <t>(for 10)</t>
    </r>
  </si>
  <si>
    <r>
      <t xml:space="preserve">per device cost </t>
    </r>
    <r>
      <rPr>
        <b/>
        <sz val="14"/>
        <color rgb="FF000000"/>
        <rFont val="Tw Cen MT"/>
        <family val="2"/>
      </rPr>
      <t>(for 100)</t>
    </r>
  </si>
  <si>
    <r>
      <t xml:space="preserve">per device cost </t>
    </r>
    <r>
      <rPr>
        <b/>
        <sz val="14"/>
        <color rgb="FF000000"/>
        <rFont val="Tw Cen MT"/>
        <family val="2"/>
      </rPr>
      <t>(for 1k)</t>
    </r>
  </si>
  <si>
    <r>
      <t xml:space="preserve">per device cost </t>
    </r>
    <r>
      <rPr>
        <b/>
        <sz val="14"/>
        <color rgb="FF000000"/>
        <rFont val="Tw Cen MT"/>
        <family val="2"/>
      </rPr>
      <t>(for 10k)</t>
    </r>
  </si>
  <si>
    <t>Logistics Cost</t>
  </si>
  <si>
    <t>Defected Product Cost</t>
  </si>
  <si>
    <t>Support Cost</t>
  </si>
  <si>
    <t>for 10 and 100, 50 and 100 device will cover support cost respectively</t>
  </si>
  <si>
    <t>R&amp;D Cost (HW)</t>
  </si>
  <si>
    <t>for 10 and 100, 250 device will cover initial HW R&amp;D Cost</t>
  </si>
  <si>
    <t>R&amp;D Cost (SW)</t>
  </si>
  <si>
    <t>for 10 and 100, 250 device will cover initial SW R&amp;D Cost</t>
  </si>
  <si>
    <t>BOM Cost (Core)</t>
  </si>
  <si>
    <t>BOM Cost (Sensor Box)</t>
  </si>
  <si>
    <t>w/o Sensor Box</t>
  </si>
  <si>
    <t>Total Costs</t>
  </si>
  <si>
    <t>Sensor Unit Cost</t>
  </si>
  <si>
    <t>Cloud Cost (per device per month)</t>
  </si>
  <si>
    <t>Network Cost (per device per month)</t>
  </si>
  <si>
    <t>Total Cloud + Network Cost (months)</t>
  </si>
  <si>
    <t>Total Cloud + Network Cost (annual)</t>
  </si>
  <si>
    <t>Operational Cost</t>
  </si>
  <si>
    <t>with Annual Inflation (USD) Contribution</t>
  </si>
  <si>
    <t>Total Unit Cost</t>
  </si>
  <si>
    <t>Operational cost percentage</t>
  </si>
  <si>
    <t>Annual Inflation rate (USD)</t>
  </si>
  <si>
    <t>Day 1 Manufacturing Cost</t>
  </si>
  <si>
    <t>Upcoming years annual maintenance cost</t>
  </si>
  <si>
    <t>Airqoon - R&amp;D Cost</t>
  </si>
  <si>
    <t>Aluminum Enclosure Cost</t>
  </si>
  <si>
    <t>USD/TRY</t>
  </si>
  <si>
    <t>NO2-B43F</t>
  </si>
  <si>
    <t>NO2-A43F</t>
  </si>
  <si>
    <t>CO-B4</t>
  </si>
  <si>
    <t>CO-A4</t>
  </si>
  <si>
    <t>OX-B431</t>
  </si>
  <si>
    <t>OC-A431</t>
  </si>
  <si>
    <t>SO2-B4</t>
  </si>
  <si>
    <t>SO2-A4</t>
  </si>
  <si>
    <t>4-Electrode ISB</t>
  </si>
  <si>
    <t>2-AFE</t>
  </si>
  <si>
    <t>4-AFE</t>
  </si>
  <si>
    <t>EUR/USD</t>
  </si>
  <si>
    <t>KDV</t>
  </si>
  <si>
    <t>Company</t>
  </si>
  <si>
    <t>Alphansense</t>
  </si>
  <si>
    <t>Quote Date</t>
  </si>
  <si>
    <t>Spec-sensor</t>
  </si>
  <si>
    <t>NO2 with Board</t>
  </si>
  <si>
    <t>H2S-B4</t>
  </si>
  <si>
    <t>Sensirion</t>
  </si>
  <si>
    <t>Temp/Humidity BME280</t>
  </si>
  <si>
    <t>https://www.digikey.com/en/products/detail/bosch-sensortec/BME280/6136306?s=N4IgTCBcDaIEYFsCmACMAOADCAugXyA</t>
  </si>
  <si>
    <t>https://www.digikey.com/en/products/detail/honeywell-sensing-and-productivity-solutions/HPMA115S0-XXX/7202204</t>
  </si>
  <si>
    <t>BOM Core Box</t>
  </si>
  <si>
    <t>Alu Body + Fastener + Customization</t>
  </si>
  <si>
    <t>Enclosure + Customization</t>
  </si>
  <si>
    <t>Unit Cost 100</t>
  </si>
  <si>
    <t>BOM Sensor Board</t>
  </si>
  <si>
    <t>Unit Cost (100)</t>
  </si>
  <si>
    <t>increase on sensor</t>
  </si>
  <si>
    <t>increase on AFE board</t>
  </si>
  <si>
    <t>comments</t>
  </si>
  <si>
    <t>10-way IDC Cable 200mm</t>
  </si>
  <si>
    <t>BOM Core Board</t>
  </si>
  <si>
    <t>Lease Model</t>
  </si>
  <si>
    <t>Upcoming year service fee (annual)</t>
  </si>
  <si>
    <t>Direct sales model</t>
  </si>
  <si>
    <t>w/ Sensor Unit (first year)</t>
  </si>
  <si>
    <t>Gross Margin</t>
  </si>
  <si>
    <t>w/o Sensor Unit (next years)</t>
  </si>
  <si>
    <t>total amount of payment</t>
  </si>
  <si>
    <t>total cost per year</t>
  </si>
  <si>
    <t>cost/payment ratio</t>
  </si>
  <si>
    <t>SVM40 (VOC)</t>
  </si>
  <si>
    <t>SCD40 (CO2)</t>
  </si>
  <si>
    <t>Misc (Mount&amp;Calibration)</t>
  </si>
  <si>
    <t>3-AFE</t>
  </si>
  <si>
    <t xml:space="preserve"> </t>
  </si>
  <si>
    <t>Filter for A- series sensor</t>
  </si>
  <si>
    <t>PM + T + RH</t>
  </si>
  <si>
    <t>PM + T + RH + 1 GAS*</t>
  </si>
  <si>
    <t>PM + T + RH + 2 GAS*</t>
  </si>
  <si>
    <t>PM + T + RH + 3 GAS*</t>
  </si>
  <si>
    <t>PM + T + RH + 4 GAS*</t>
  </si>
  <si>
    <t>WIBxx Module (bc92+esp32)</t>
  </si>
  <si>
    <t>PID-A15</t>
  </si>
  <si>
    <t>PID-AH15</t>
  </si>
  <si>
    <t>PID-AY5</t>
  </si>
  <si>
    <t>Airqoon prefered</t>
  </si>
  <si>
    <t>NH3-B1</t>
  </si>
  <si>
    <t>NO-B43F</t>
  </si>
  <si>
    <t>from web</t>
  </si>
  <si>
    <t>Unique Gases</t>
  </si>
  <si>
    <t>PM + T + RH + VOC + SO2 + H2S</t>
  </si>
  <si>
    <t>PM + T + RH + VOC +  H2S</t>
  </si>
  <si>
    <t>PM + T + RH + SO2</t>
  </si>
  <si>
    <t>Minimum lease duration</t>
  </si>
  <si>
    <t>6 months</t>
  </si>
  <si>
    <t>H2S</t>
  </si>
  <si>
    <t>PM + T + RH + H2S</t>
  </si>
  <si>
    <t>Ultrasonic Wind Sensor</t>
  </si>
  <si>
    <t>Mechanical Wind Sensor</t>
  </si>
  <si>
    <t>customs + logistics margin</t>
  </si>
  <si>
    <t>VOC - PID</t>
  </si>
  <si>
    <t>NO-A41</t>
  </si>
  <si>
    <t>NH3-AF</t>
  </si>
  <si>
    <t>NO-B4</t>
  </si>
  <si>
    <t>Misc for AFE (Mount&amp;Calibration)</t>
  </si>
  <si>
    <t>ISB (NO, ETO, NH3, VOC)</t>
  </si>
  <si>
    <t>Misc for ISB (Mount&amp;Calibration)</t>
  </si>
  <si>
    <t>*Gas Alternatives: NO, NO2, O3, CO, SO2</t>
  </si>
  <si>
    <t>PM + T + RH + VOC</t>
  </si>
  <si>
    <t>*Gas Alternatives - Set 1: NO,NO2,O3, CO, SO2</t>
  </si>
  <si>
    <t>**Gas Alternatives - Set 2: H2S, NH3, CH4</t>
  </si>
  <si>
    <t>***Gas Alternatives - Set 3: VOCs</t>
  </si>
  <si>
    <t>ISB (CO, H2S, CO2)</t>
  </si>
  <si>
    <t>UKDynament</t>
  </si>
  <si>
    <t>N2O</t>
  </si>
  <si>
    <t>CO2 - extended range</t>
  </si>
  <si>
    <t>CH4</t>
  </si>
  <si>
    <t>POUND/USD</t>
  </si>
  <si>
    <t>Additional Sensor Cost base + each sensor</t>
  </si>
  <si>
    <t xml:space="preserve">H2S-BH </t>
  </si>
  <si>
    <t>Transmitter Board Toxic - 4-20mA Analogue</t>
  </si>
  <si>
    <t>PID-AY5 VOC Sensor 0 to 20ppm 10.6 eV</t>
  </si>
  <si>
    <t>PID PCB Mounting Board</t>
  </si>
  <si>
    <t>Alternative Pricing Model (After USD/TR fuckup)</t>
  </si>
  <si>
    <t>USD/TL (rent)</t>
  </si>
  <si>
    <t>USD/TL (direct sale)</t>
  </si>
  <si>
    <t>4-Electrode ISB (NO2, OX)</t>
  </si>
  <si>
    <t>4-Electrode ISB (CO, SO2)</t>
  </si>
  <si>
    <t>4-Electrode ISB (NO2, O3)</t>
  </si>
  <si>
    <t>4-Electrode ISB (NO, ETO, NH3, VOC @ +200mV Bias)</t>
  </si>
  <si>
    <t>4-Electrode ISB (CO, H2S, SO2, VOC @ Zero Bias)</t>
  </si>
  <si>
    <t>PID-AY5 VOC (0-20ppm) 10.6eV Lamp</t>
  </si>
  <si>
    <t>Tera</t>
  </si>
  <si>
    <t>NextPM</t>
  </si>
  <si>
    <t>from KMC</t>
  </si>
  <si>
    <t>from manufacturer</t>
  </si>
  <si>
    <t>single unit</t>
  </si>
  <si>
    <t>n of units</t>
  </si>
  <si>
    <t>customs representative fee</t>
  </si>
  <si>
    <t>usd/try</t>
  </si>
  <si>
    <t>customs(ordino)</t>
  </si>
  <si>
    <t>customs(ardiye)</t>
  </si>
  <si>
    <t>shipping</t>
  </si>
  <si>
    <t>customs(docs)</t>
  </si>
  <si>
    <t>stamp tax :)</t>
  </si>
  <si>
    <t>KDV-raw</t>
  </si>
  <si>
    <t>KDV-customs</t>
  </si>
  <si>
    <t>one-time-costs</t>
  </si>
  <si>
    <t>10-costs</t>
  </si>
  <si>
    <t>10 (calculated price / cost)</t>
  </si>
  <si>
    <t>10 (rounded price / cost)</t>
  </si>
  <si>
    <t>PM + T + RH + 2 GAS* (AFE-2)</t>
  </si>
  <si>
    <t>PM + T + RH + 2 GAS* (ISB)</t>
  </si>
  <si>
    <t>PM + T + RH + 1 GAS* (ISB)</t>
  </si>
  <si>
    <t>PM + T + RH + 3 GAS* (ISB)</t>
  </si>
  <si>
    <t>PM + T + RH + 4 GAS* (ISB)</t>
  </si>
  <si>
    <t>PM + T + RH + 4 GAS* (AFE-2)</t>
  </si>
  <si>
    <t>SEN54 (PM+tVOC)</t>
  </si>
  <si>
    <t>Rika Sensor</t>
  </si>
  <si>
    <t>RK300-06A</t>
  </si>
  <si>
    <t>PM + T + RH + SEN54 + Noise</t>
  </si>
  <si>
    <t>Maliyet</t>
  </si>
  <si>
    <t>İletişim</t>
  </si>
  <si>
    <t>Açıklama</t>
  </si>
  <si>
    <t>Ücret</t>
  </si>
  <si>
    <t>No</t>
  </si>
  <si>
    <t>Bulut</t>
  </si>
  <si>
    <t>USD/TL</t>
  </si>
  <si>
    <t>Kargo</t>
  </si>
  <si>
    <t>Bakım için geldi, bakımdan geri döndü (git/gel)</t>
  </si>
  <si>
    <t>Kurulum</t>
  </si>
  <si>
    <t>Raporlama</t>
  </si>
  <si>
    <t>Tekrar Kalibrasyon</t>
  </si>
  <si>
    <t>Bakım</t>
  </si>
  <si>
    <t>GSM Operatör Maliyeti - Aylık</t>
  </si>
  <si>
    <t>Tüm bulut altyapı maliyeti AWS - Aylık</t>
  </si>
  <si>
    <t>Claude maliyeti, Ayşe (adam/saat) - Aylık</t>
  </si>
  <si>
    <t xml:space="preserve">Cihazın temizlenmesi, tekrar boyanmasi, parça değişimi ? - Tekil </t>
  </si>
  <si>
    <t>Yuvarlama ve Yıllık</t>
  </si>
  <si>
    <t>Temel Maliyet Kalemleri</t>
  </si>
  <si>
    <t>Kalibrasyon için cihazların götürülüp kurulması, kalibrasyonun yapılması, kalibrasyon raporunun çıkarılması, sonra tekrardan alınması Tekil (gülkan ayrı, orhun/eren ayrı)</t>
  </si>
  <si>
    <t>Gittik cihazları kurduk. - Tekil</t>
  </si>
  <si>
    <t>SB-Lite</t>
  </si>
  <si>
    <t>SB-GAS-1</t>
  </si>
  <si>
    <t>SB-GAS-2</t>
  </si>
  <si>
    <t>SB-GAS-3</t>
  </si>
  <si>
    <t>SB-GAS-4</t>
  </si>
  <si>
    <t>Sensor Box Costs</t>
  </si>
  <si>
    <t>Name</t>
  </si>
  <si>
    <t>Cost</t>
  </si>
  <si>
    <t>socket</t>
  </si>
  <si>
    <t>box</t>
  </si>
  <si>
    <t>pcb</t>
  </si>
  <si>
    <t>nextpm sensor</t>
  </si>
  <si>
    <t>3d-printed parts</t>
  </si>
  <si>
    <t>Single Gas cost in average</t>
  </si>
  <si>
    <t>ISB</t>
  </si>
  <si>
    <t>EC Cell</t>
  </si>
  <si>
    <t>rough costs</t>
  </si>
  <si>
    <t>rough costs / final price</t>
  </si>
  <si>
    <t>through recycling we receive</t>
  </si>
  <si>
    <t>isb</t>
  </si>
  <si>
    <t>indended price</t>
  </si>
  <si>
    <t>recycled material cost</t>
  </si>
  <si>
    <t>cost after recycle</t>
  </si>
  <si>
    <t>2nd price w.r.t. Recycled materials</t>
  </si>
  <si>
    <t>rounded price</t>
  </si>
  <si>
    <t>sensor cabling</t>
  </si>
  <si>
    <t>bolt &amp; distance</t>
  </si>
  <si>
    <t>recycled material fault percentage</t>
  </si>
  <si>
    <t>OPC-N3</t>
  </si>
  <si>
    <t>SPI Connector</t>
  </si>
  <si>
    <t>Ülkü Hoca Balıklıgöl, 4-GAS, OPC-N3,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</si>
</sst>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4" formatCode="_(&quot;₺&quot;* #,##0.00_);_(&quot;₺&quot;* \(#,##0.00\);_(&quot;₺&quot;* &quot;-&quot;??_);_(@_)"/>
    <numFmt numFmtId="164" formatCode="_-[$$-409]* #,##0.00_ ;_-[$$-409]* \-#,##0.00\ ;_-[$$-409]* &quot;-&quot;??_ ;_-@_ "/>
    <numFmt numFmtId="165" formatCode="0.000"/>
    <numFmt numFmtId="166" formatCode="&quot;$&quot;#,##0.00"/>
    <numFmt numFmtId="167" formatCode="_-[$$-409]* #,##0.0000_ ;_-[$$-409]* \-#,##0.0000\ ;_-[$$-409]* &quot;-&quot;??_ ;_-@_ "/>
    <numFmt numFmtId="168" formatCode="_-[$$-409]* #,##0.00_ ;_-[$$-409]* \-#,##0.00\ ;_-[$$-409]* &quot;-&quot;????_ ;_-@_ "/>
    <numFmt numFmtId="169" formatCode="_-[$$-409]* #,##0.000_ ;_-[$$-409]* \-#,##0.000\ ;_-[$$-409]* &quot;-&quot;??_ ;_-@_ "/>
    <numFmt numFmtId="170" formatCode="0.0%"/>
    <numFmt numFmtId="171" formatCode="_([$$-409]* #,##0.00_);_([$$-409]* \(#,##0.00\);_([$$-409]* &quot;-&quot;??_);_(@_)"/>
    <numFmt numFmtId="172" formatCode="_([$€-2]\ * #,##0.00_);_([$€-2]\ * \(#,##0.00\);_([$€-2]\ * &quot;-&quot;??_);_(@_)"/>
    <numFmt numFmtId="173" formatCode="[$$-409]#,##0.00"/>
    <numFmt numFmtId="174" formatCode="_-[$£-809]* #,##0.00_-;\-[$£-809]* #,##0.00_-;_-[$£-809]* &quot;-&quot;??_-;_-@_-"/>
  </numFmts>
  <fonts count="50" x14ac:knownFonts="1">
    <font>
      <sz val="11"/>
      <color rgb="FF000000"/>
      <name val="Questrial"/>
    </font>
    <font>
      <sz val="18"/>
      <color rgb="FF335B74"/>
      <name val="Questrial"/>
      <charset val="162"/>
    </font>
    <font>
      <sz val="11"/>
      <color rgb="FFFFFFFF"/>
      <name val="Questrial"/>
      <charset val="162"/>
    </font>
    <font>
      <b/>
      <sz val="11"/>
      <color rgb="FF000000"/>
      <name val="Questrial"/>
      <charset val="162"/>
    </font>
    <font>
      <sz val="11"/>
      <name val="Questrial"/>
      <charset val="162"/>
    </font>
    <font>
      <b/>
      <sz val="16"/>
      <color rgb="FF000000"/>
      <name val="Questrial"/>
      <charset val="162"/>
    </font>
    <font>
      <sz val="16"/>
      <color rgb="FF000000"/>
      <name val="Questrial"/>
      <charset val="162"/>
    </font>
    <font>
      <sz val="18"/>
      <color rgb="FF273359"/>
      <name val="Trebuchet MS"/>
      <family val="2"/>
    </font>
    <font>
      <sz val="11"/>
      <name val="Arial"/>
      <family val="2"/>
    </font>
    <font>
      <sz val="10"/>
      <name val="Trebuchet MS"/>
      <family val="2"/>
    </font>
    <font>
      <sz val="11"/>
      <name val="Trebuchet MS"/>
      <family val="2"/>
    </font>
    <font>
      <sz val="10"/>
      <color rgb="FFFFFFFF"/>
      <name val="Trebuchet MS"/>
      <family val="2"/>
    </font>
    <font>
      <u/>
      <sz val="10"/>
      <color rgb="FF0000FF"/>
      <name val="Arial"/>
      <family val="2"/>
    </font>
    <font>
      <sz val="12"/>
      <name val="Trebuchet MS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Questrial"/>
      <charset val="162"/>
    </font>
    <font>
      <u/>
      <sz val="10"/>
      <color rgb="FF0000FF"/>
      <name val="Arial"/>
      <family val="2"/>
    </font>
    <font>
      <u/>
      <sz val="11"/>
      <color rgb="FF6B9F25"/>
      <name val="Questrial"/>
      <charset val="162"/>
    </font>
    <font>
      <sz val="11"/>
      <color rgb="FF000000"/>
      <name val="Arial"/>
      <family val="2"/>
    </font>
    <font>
      <sz val="12"/>
      <color rgb="FF000000"/>
      <name val="Questrial"/>
      <charset val="162"/>
    </font>
    <font>
      <sz val="14"/>
      <color rgb="FF000000"/>
      <name val="Questrial"/>
      <charset val="162"/>
    </font>
    <font>
      <b/>
      <sz val="14"/>
      <color rgb="FF000000"/>
      <name val="Questrial"/>
      <charset val="162"/>
    </font>
    <font>
      <sz val="11"/>
      <color rgb="FF9C0006"/>
      <name val="Questrial"/>
      <charset val="162"/>
    </font>
    <font>
      <b/>
      <sz val="12"/>
      <color rgb="FF000000"/>
      <name val="Questrial"/>
      <charset val="162"/>
    </font>
    <font>
      <sz val="11"/>
      <color rgb="FF9C5700"/>
      <name val="Questrial"/>
      <charset val="162"/>
    </font>
    <font>
      <sz val="10"/>
      <color rgb="FF75B5E4"/>
      <name val="Trebuchet MS"/>
      <family val="2"/>
    </font>
    <font>
      <sz val="10"/>
      <color rgb="FF1C6294"/>
      <name val="Trebuchet MS"/>
      <family val="2"/>
    </font>
    <font>
      <sz val="10"/>
      <color rgb="FF00B050"/>
      <name val="Trebuchet MS"/>
      <family val="2"/>
    </font>
    <font>
      <b/>
      <sz val="14"/>
      <color rgb="FF000000"/>
      <name val="Tw Cen MT"/>
      <family val="2"/>
    </font>
    <font>
      <b/>
      <sz val="11"/>
      <color rgb="FF000000"/>
      <name val="Tw Cen MT"/>
      <family val="2"/>
    </font>
    <font>
      <sz val="11"/>
      <color rgb="FF000000"/>
      <name val="Tw Cen MT"/>
      <family val="2"/>
    </font>
    <font>
      <sz val="11"/>
      <color rgb="FF000000"/>
      <name val="Questrial"/>
      <charset val="162"/>
    </font>
    <font>
      <u/>
      <sz val="11"/>
      <color theme="10"/>
      <name val="Questrial"/>
      <charset val="162"/>
    </font>
    <font>
      <sz val="10"/>
      <name val="Arial"/>
      <family val="2"/>
      <charset val="162"/>
    </font>
    <font>
      <sz val="11"/>
      <color rgb="FF000000"/>
      <name val="Questrial"/>
    </font>
    <font>
      <sz val="12"/>
      <color rgb="FF9C5700"/>
      <name val="Tw Cen MT"/>
      <family val="2"/>
      <scheme val="minor"/>
    </font>
    <font>
      <sz val="12"/>
      <color rgb="FF3F3F76"/>
      <name val="Tw Cen MT"/>
      <family val="2"/>
      <scheme val="minor"/>
    </font>
    <font>
      <sz val="12"/>
      <color theme="0"/>
      <name val="Tw Cen MT"/>
      <family val="2"/>
      <scheme val="minor"/>
    </font>
    <font>
      <sz val="11"/>
      <color rgb="FF006100"/>
      <name val="Tw Cen MT"/>
      <family val="2"/>
      <scheme val="minor"/>
    </font>
    <font>
      <sz val="11"/>
      <color rgb="FFFFFFFF"/>
      <name val="Questrial"/>
    </font>
    <font>
      <b/>
      <sz val="11"/>
      <color theme="0"/>
      <name val="Questrial"/>
    </font>
    <font>
      <sz val="11"/>
      <color theme="0"/>
      <name val="Questrial"/>
    </font>
    <font>
      <sz val="11"/>
      <color theme="1"/>
      <name val="Questrial"/>
    </font>
    <font>
      <b/>
      <sz val="12"/>
      <color theme="1"/>
      <name val="Tw Cen MT"/>
      <family val="2"/>
      <scheme val="minor"/>
    </font>
    <font>
      <b/>
      <sz val="11"/>
      <color rgb="FF000000"/>
      <name val="Questrial"/>
    </font>
    <font>
      <b/>
      <sz val="12"/>
      <color rgb="FF000000"/>
      <name val="Questrial"/>
    </font>
    <font>
      <sz val="11"/>
      <color rgb="FF000000"/>
      <name val="Questrial Regular"/>
    </font>
    <font>
      <b/>
      <sz val="14"/>
      <color rgb="FF000000"/>
      <name val="Questrial"/>
    </font>
    <font>
      <sz val="12"/>
      <color rgb="FF000000"/>
      <name val="Questrial"/>
    </font>
  </fonts>
  <fills count="37">
    <fill>
      <patternFill patternType="none"/>
    </fill>
    <fill>
      <patternFill patternType="gray125"/>
    </fill>
    <fill>
      <patternFill patternType="solid">
        <fgColor rgb="FFC0DAD8"/>
        <bgColor rgb="FFC0DAD8"/>
      </patternFill>
    </fill>
    <fill>
      <patternFill patternType="solid">
        <fgColor rgb="FF62A39F"/>
        <bgColor rgb="FF62A39F"/>
      </patternFill>
    </fill>
    <fill>
      <patternFill patternType="solid">
        <fgColor rgb="FFA3CEED"/>
        <bgColor rgb="FFA3CEED"/>
      </patternFill>
    </fill>
    <fill>
      <patternFill patternType="solid">
        <fgColor rgb="FF2683C6"/>
        <bgColor rgb="FF2683C6"/>
      </patternFill>
    </fill>
    <fill>
      <patternFill patternType="solid">
        <fgColor rgb="FFB2E3D5"/>
        <bgColor rgb="FFB2E3D5"/>
      </patternFill>
    </fill>
    <fill>
      <patternFill patternType="solid">
        <fgColor rgb="FF42BA97"/>
        <bgColor rgb="FF42BA9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DFEA"/>
        <bgColor rgb="FFCFDFEA"/>
      </patternFill>
    </fill>
    <fill>
      <patternFill patternType="solid">
        <fgColor rgb="FF75B5E4"/>
        <bgColor rgb="FF75B5E4"/>
      </patternFill>
    </fill>
    <fill>
      <patternFill patternType="solid">
        <fgColor rgb="FFA9D7B6"/>
        <bgColor rgb="FFA9D7B6"/>
      </patternFill>
    </fill>
    <fill>
      <patternFill patternType="solid">
        <fgColor rgb="FFFFEB9C"/>
        <bgColor rgb="FFFFEB9C"/>
      </patternFill>
    </fill>
    <fill>
      <patternFill patternType="solid">
        <fgColor rgb="FFD1EEF9"/>
        <bgColor rgb="FFD1EEF9"/>
      </patternFill>
    </fill>
    <fill>
      <patternFill patternType="solid">
        <fgColor rgb="FFDFECEB"/>
        <bgColor rgb="FFDFECEB"/>
      </patternFill>
    </fill>
    <fill>
      <patternFill patternType="solid">
        <fgColor theme="0"/>
        <bgColor rgb="FFC0DAD8"/>
      </patternFill>
    </fill>
    <fill>
      <patternFill patternType="solid">
        <fgColor theme="9" tint="0.59999389629810485"/>
        <bgColor rgb="FFC0DAD8"/>
      </patternFill>
    </fill>
    <fill>
      <patternFill patternType="solid">
        <fgColor theme="5" tint="0.59999389629810485"/>
        <bgColor rgb="FFA3CEED"/>
      </patternFill>
    </fill>
    <fill>
      <patternFill patternType="solid">
        <fgColor theme="8" tint="0.39997558519241921"/>
        <bgColor rgb="FFC0DAD8"/>
      </patternFill>
    </fill>
    <fill>
      <patternFill patternType="solid">
        <fgColor theme="8"/>
        <bgColor rgb="FFA3CEED"/>
      </patternFill>
    </fill>
    <fill>
      <patternFill patternType="solid">
        <fgColor theme="8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A3CEED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8"/>
      </patternFill>
    </fill>
    <fill>
      <patternFill patternType="solid">
        <fgColor rgb="FF3E8853"/>
        <bgColor rgb="FF3E8853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/>
    <xf numFmtId="44" fontId="3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9" fontId="35" fillId="0" borderId="0" applyFont="0" applyFill="0" applyBorder="0" applyAlignment="0" applyProtection="0"/>
    <xf numFmtId="0" fontId="36" fillId="26" borderId="0" applyNumberFormat="0" applyBorder="0" applyAlignment="0" applyProtection="0"/>
    <xf numFmtId="0" fontId="37" fillId="27" borderId="28" applyNumberFormat="0" applyAlignment="0" applyProtection="0"/>
    <xf numFmtId="0" fontId="35" fillId="0" borderId="12"/>
    <xf numFmtId="0" fontId="39" fillId="28" borderId="12" applyNumberFormat="0" applyBorder="0" applyAlignment="0" applyProtection="0"/>
    <xf numFmtId="0" fontId="38" fillId="29" borderId="12" applyNumberFormat="0" applyBorder="0" applyAlignment="0" applyProtection="0"/>
  </cellStyleXfs>
  <cellXfs count="252">
    <xf numFmtId="0" fontId="0" fillId="0" borderId="0" xfId="0"/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16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5" xfId="0" applyBorder="1"/>
    <xf numFmtId="0" fontId="3" fillId="0" borderId="5" xfId="0" applyFont="1" applyBorder="1"/>
    <xf numFmtId="164" fontId="0" fillId="0" borderId="5" xfId="0" applyNumberFormat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/>
    <xf numFmtId="0" fontId="5" fillId="0" borderId="6" xfId="0" applyFont="1" applyBorder="1"/>
    <xf numFmtId="164" fontId="6" fillId="8" borderId="7" xfId="0" applyNumberFormat="1" applyFont="1" applyFill="1" applyBorder="1"/>
    <xf numFmtId="0" fontId="7" fillId="0" borderId="0" xfId="0" applyFont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left" vertical="center"/>
    </xf>
    <xf numFmtId="0" fontId="9" fillId="0" borderId="0" xfId="0" applyFont="1"/>
    <xf numFmtId="0" fontId="8" fillId="0" borderId="8" xfId="0" applyFont="1" applyBorder="1" applyAlignment="1">
      <alignment horizontal="right"/>
    </xf>
    <xf numFmtId="0" fontId="10" fillId="0" borderId="8" xfId="0" applyFont="1" applyBorder="1" applyAlignment="1">
      <alignment horizontal="center"/>
    </xf>
    <xf numFmtId="0" fontId="11" fillId="0" borderId="0" xfId="0" applyFont="1" applyAlignment="1">
      <alignment horizontal="right" wrapText="1"/>
    </xf>
    <xf numFmtId="165" fontId="11" fillId="0" borderId="0" xfId="0" applyNumberFormat="1" applyFont="1" applyAlignment="1">
      <alignment horizontal="right"/>
    </xf>
    <xf numFmtId="165" fontId="9" fillId="0" borderId="0" xfId="0" applyNumberFormat="1" applyFont="1"/>
    <xf numFmtId="0" fontId="12" fillId="0" borderId="0" xfId="0" applyFont="1" applyAlignment="1">
      <alignment horizontal="left" vertical="top"/>
    </xf>
    <xf numFmtId="0" fontId="8" fillId="0" borderId="9" xfId="0" applyFont="1" applyBorder="1" applyAlignment="1">
      <alignment horizontal="right"/>
    </xf>
    <xf numFmtId="0" fontId="10" fillId="0" borderId="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9" fillId="0" borderId="0" xfId="0" applyFont="1" applyAlignment="1">
      <alignment wrapText="1"/>
    </xf>
    <xf numFmtId="0" fontId="8" fillId="0" borderId="10" xfId="0" applyFont="1" applyBorder="1" applyAlignment="1">
      <alignment horizontal="right"/>
    </xf>
    <xf numFmtId="166" fontId="10" fillId="0" borderId="10" xfId="0" applyNumberFormat="1" applyFont="1" applyBorder="1" applyAlignment="1">
      <alignment horizontal="center"/>
    </xf>
    <xf numFmtId="165" fontId="14" fillId="0" borderId="0" xfId="0" applyNumberFormat="1" applyFont="1" applyAlignment="1">
      <alignment horizontal="center" vertical="center"/>
    </xf>
    <xf numFmtId="0" fontId="8" fillId="0" borderId="0" xfId="0" applyFont="1" applyAlignment="1">
      <alignment wrapText="1"/>
    </xf>
    <xf numFmtId="165" fontId="8" fillId="0" borderId="0" xfId="0" applyNumberFormat="1" applyFont="1"/>
    <xf numFmtId="0" fontId="2" fillId="7" borderId="1" xfId="0" applyFont="1" applyFill="1" applyBorder="1"/>
    <xf numFmtId="164" fontId="15" fillId="0" borderId="0" xfId="0" applyNumberFormat="1" applyFont="1" applyAlignment="1">
      <alignment horizontal="center"/>
    </xf>
    <xf numFmtId="9" fontId="8" fillId="0" borderId="0" xfId="0" applyNumberFormat="1" applyFont="1"/>
    <xf numFmtId="164" fontId="19" fillId="10" borderId="1" xfId="0" applyNumberFormat="1" applyFont="1" applyFill="1" applyBorder="1"/>
    <xf numFmtId="1" fontId="15" fillId="0" borderId="0" xfId="0" applyNumberFormat="1" applyFont="1"/>
    <xf numFmtId="0" fontId="15" fillId="0" borderId="0" xfId="0" applyFont="1"/>
    <xf numFmtId="0" fontId="0" fillId="0" borderId="0" xfId="0" applyAlignment="1">
      <alignment horizontal="right"/>
    </xf>
    <xf numFmtId="168" fontId="20" fillId="10" borderId="1" xfId="0" applyNumberFormat="1" applyFont="1" applyFill="1" applyBorder="1"/>
    <xf numFmtId="168" fontId="0" fillId="0" borderId="0" xfId="0" applyNumberFormat="1"/>
    <xf numFmtId="0" fontId="0" fillId="0" borderId="0" xfId="0" applyAlignment="1">
      <alignment horizontal="center"/>
    </xf>
    <xf numFmtId="0" fontId="21" fillId="2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164" fontId="16" fillId="9" borderId="1" xfId="0" applyNumberFormat="1" applyFont="1" applyFill="1" applyBorder="1" applyAlignment="1">
      <alignment horizontal="center"/>
    </xf>
    <xf numFmtId="0" fontId="0" fillId="6" borderId="13" xfId="0" applyFill="1" applyBorder="1"/>
    <xf numFmtId="164" fontId="16" fillId="9" borderId="1" xfId="0" applyNumberFormat="1" applyFont="1" applyFill="1" applyBorder="1"/>
    <xf numFmtId="0" fontId="0" fillId="6" borderId="14" xfId="0" applyFill="1" applyBorder="1"/>
    <xf numFmtId="164" fontId="16" fillId="0" borderId="0" xfId="0" applyNumberFormat="1" applyFont="1"/>
    <xf numFmtId="164" fontId="23" fillId="0" borderId="0" xfId="0" applyNumberFormat="1" applyFont="1" applyAlignment="1">
      <alignment horizontal="center"/>
    </xf>
    <xf numFmtId="0" fontId="0" fillId="6" borderId="1" xfId="0" applyFill="1" applyBorder="1"/>
    <xf numFmtId="0" fontId="0" fillId="0" borderId="5" xfId="0" applyBorder="1" applyAlignment="1">
      <alignment horizontal="center"/>
    </xf>
    <xf numFmtId="0" fontId="0" fillId="6" borderId="7" xfId="0" applyFill="1" applyBorder="1"/>
    <xf numFmtId="0" fontId="3" fillId="0" borderId="16" xfId="0" applyFont="1" applyBorder="1"/>
    <xf numFmtId="164" fontId="0" fillId="11" borderId="17" xfId="0" applyNumberFormat="1" applyFill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16" xfId="0" applyBorder="1"/>
    <xf numFmtId="0" fontId="0" fillId="0" borderId="19" xfId="0" applyBorder="1" applyAlignment="1">
      <alignment horizontal="center"/>
    </xf>
    <xf numFmtId="0" fontId="21" fillId="11" borderId="1" xfId="0" applyFont="1" applyFill="1" applyBorder="1" applyAlignment="1">
      <alignment horizontal="center" vertical="center"/>
    </xf>
    <xf numFmtId="169" fontId="0" fillId="0" borderId="0" xfId="0" applyNumberFormat="1"/>
    <xf numFmtId="0" fontId="3" fillId="0" borderId="0" xfId="0" applyFont="1" applyAlignment="1">
      <alignment horizontal="left"/>
    </xf>
    <xf numFmtId="0" fontId="0" fillId="12" borderId="20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9" fontId="0" fillId="0" borderId="19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8" xfId="0" applyBorder="1" applyAlignment="1">
      <alignment horizontal="center"/>
    </xf>
    <xf numFmtId="0" fontId="21" fillId="12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/>
    </xf>
    <xf numFmtId="164" fontId="16" fillId="0" borderId="0" xfId="0" applyNumberFormat="1" applyFont="1" applyAlignment="1">
      <alignment horizontal="center"/>
    </xf>
    <xf numFmtId="0" fontId="25" fillId="13" borderId="14" xfId="0" applyFont="1" applyFill="1" applyBorder="1"/>
    <xf numFmtId="164" fontId="22" fillId="0" borderId="0" xfId="0" applyNumberFormat="1" applyFont="1"/>
    <xf numFmtId="0" fontId="22" fillId="0" borderId="0" xfId="0" applyFont="1"/>
    <xf numFmtId="0" fontId="20" fillId="0" borderId="0" xfId="0" applyFont="1"/>
    <xf numFmtId="164" fontId="24" fillId="0" borderId="0" xfId="0" applyNumberFormat="1" applyFont="1"/>
    <xf numFmtId="0" fontId="0" fillId="14" borderId="1" xfId="0" applyFill="1" applyBorder="1"/>
    <xf numFmtId="9" fontId="0" fillId="0" borderId="0" xfId="0" applyNumberFormat="1"/>
    <xf numFmtId="170" fontId="0" fillId="0" borderId="0" xfId="0" applyNumberFormat="1"/>
    <xf numFmtId="10" fontId="0" fillId="0" borderId="0" xfId="0" applyNumberFormat="1"/>
    <xf numFmtId="0" fontId="0" fillId="15" borderId="1" xfId="0" applyFill="1" applyBorder="1"/>
    <xf numFmtId="0" fontId="16" fillId="4" borderId="1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165" fontId="4" fillId="4" borderId="12" xfId="0" applyNumberFormat="1" applyFont="1" applyFill="1" applyBorder="1" applyAlignment="1">
      <alignment horizontal="center" vertical="center" wrapText="1"/>
    </xf>
    <xf numFmtId="0" fontId="0" fillId="6" borderId="12" xfId="0" applyFill="1" applyBorder="1"/>
    <xf numFmtId="172" fontId="0" fillId="0" borderId="0" xfId="0" applyNumberFormat="1"/>
    <xf numFmtId="171" fontId="0" fillId="0" borderId="0" xfId="0" applyNumberFormat="1"/>
    <xf numFmtId="17" fontId="0" fillId="0" borderId="0" xfId="0" applyNumberFormat="1"/>
    <xf numFmtId="171" fontId="0" fillId="0" borderId="0" xfId="1" applyNumberFormat="1" applyFont="1" applyAlignment="1"/>
    <xf numFmtId="0" fontId="16" fillId="2" borderId="12" xfId="0" applyFont="1" applyFill="1" applyBorder="1" applyAlignment="1">
      <alignment horizontal="center" vertical="center" wrapText="1"/>
    </xf>
    <xf numFmtId="165" fontId="16" fillId="2" borderId="12" xfId="0" applyNumberFormat="1" applyFont="1" applyFill="1" applyBorder="1" applyAlignment="1">
      <alignment horizontal="center" vertical="center" wrapText="1"/>
    </xf>
    <xf numFmtId="0" fontId="16" fillId="16" borderId="12" xfId="0" applyFont="1" applyFill="1" applyBorder="1" applyAlignment="1">
      <alignment horizontal="center" vertical="center" wrapText="1"/>
    </xf>
    <xf numFmtId="165" fontId="16" fillId="16" borderId="12" xfId="0" applyNumberFormat="1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12" xfId="0" applyBorder="1"/>
    <xf numFmtId="165" fontId="14" fillId="0" borderId="12" xfId="0" applyNumberFormat="1" applyFont="1" applyBorder="1" applyAlignment="1">
      <alignment horizontal="center" vertical="center"/>
    </xf>
    <xf numFmtId="165" fontId="0" fillId="4" borderId="12" xfId="0" applyNumberFormat="1" applyFill="1" applyBorder="1" applyAlignment="1">
      <alignment horizontal="center" vertical="center" wrapText="1"/>
    </xf>
    <xf numFmtId="165" fontId="16" fillId="4" borderId="12" xfId="0" applyNumberFormat="1" applyFont="1" applyFill="1" applyBorder="1" applyAlignment="1">
      <alignment horizontal="center" vertical="center" wrapText="1"/>
    </xf>
    <xf numFmtId="165" fontId="9" fillId="0" borderId="12" xfId="0" applyNumberFormat="1" applyFont="1" applyBorder="1" applyAlignment="1">
      <alignment horizontal="center" vertical="center" wrapText="1"/>
    </xf>
    <xf numFmtId="165" fontId="0" fillId="2" borderId="12" xfId="0" applyNumberForma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14" fillId="0" borderId="12" xfId="0" applyFont="1" applyBorder="1" applyAlignment="1">
      <alignment horizontal="left" vertical="center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0" fillId="0" borderId="22" xfId="0" applyBorder="1"/>
    <xf numFmtId="0" fontId="8" fillId="0" borderId="22" xfId="0" applyFont="1" applyBorder="1"/>
    <xf numFmtId="0" fontId="16" fillId="16" borderId="22" xfId="0" applyFont="1" applyFill="1" applyBorder="1" applyAlignment="1">
      <alignment horizontal="center" vertical="center" wrapText="1"/>
    </xf>
    <xf numFmtId="165" fontId="16" fillId="16" borderId="22" xfId="0" applyNumberFormat="1" applyFont="1" applyFill="1" applyBorder="1" applyAlignment="1">
      <alignment horizontal="center" vertical="center" wrapText="1"/>
    </xf>
    <xf numFmtId="167" fontId="15" fillId="0" borderId="22" xfId="0" applyNumberFormat="1" applyFont="1" applyBorder="1" applyAlignment="1">
      <alignment horizontal="center" vertical="center" wrapText="1"/>
    </xf>
    <xf numFmtId="167" fontId="15" fillId="9" borderId="22" xfId="0" applyNumberFormat="1" applyFont="1" applyFill="1" applyBorder="1" applyAlignment="1">
      <alignment horizontal="center" vertical="center" wrapText="1"/>
    </xf>
    <xf numFmtId="164" fontId="15" fillId="9" borderId="22" xfId="0" applyNumberFormat="1" applyFont="1" applyFill="1" applyBorder="1" applyAlignment="1">
      <alignment horizontal="center" vertical="center" wrapText="1"/>
    </xf>
    <xf numFmtId="0" fontId="16" fillId="16" borderId="22" xfId="0" applyFont="1" applyFill="1" applyBorder="1" applyAlignment="1">
      <alignment vertical="center" wrapText="1"/>
    </xf>
    <xf numFmtId="167" fontId="16" fillId="9" borderId="22" xfId="0" applyNumberFormat="1" applyFont="1" applyFill="1" applyBorder="1" applyAlignment="1">
      <alignment horizontal="center" vertical="center" wrapText="1"/>
    </xf>
    <xf numFmtId="164" fontId="16" fillId="9" borderId="22" xfId="0" applyNumberFormat="1" applyFont="1" applyFill="1" applyBorder="1" applyAlignment="1">
      <alignment horizontal="center" vertical="center" wrapText="1"/>
    </xf>
    <xf numFmtId="0" fontId="9" fillId="0" borderId="22" xfId="0" applyFont="1" applyBorder="1"/>
    <xf numFmtId="165" fontId="8" fillId="0" borderId="22" xfId="0" applyNumberFormat="1" applyFont="1" applyBorder="1"/>
    <xf numFmtId="0" fontId="2" fillId="7" borderId="22" xfId="0" applyFont="1" applyFill="1" applyBorder="1"/>
    <xf numFmtId="0" fontId="9" fillId="0" borderId="22" xfId="0" applyFont="1" applyBorder="1" applyAlignment="1">
      <alignment horizontal="left" vertical="top" wrapText="1"/>
    </xf>
    <xf numFmtId="167" fontId="15" fillId="9" borderId="24" xfId="0" applyNumberFormat="1" applyFont="1" applyFill="1" applyBorder="1" applyAlignment="1">
      <alignment horizontal="center" vertical="center" wrapText="1"/>
    </xf>
    <xf numFmtId="167" fontId="15" fillId="0" borderId="24" xfId="0" applyNumberFormat="1" applyFont="1" applyBorder="1" applyAlignment="1">
      <alignment horizontal="center" vertical="center" wrapText="1"/>
    </xf>
    <xf numFmtId="164" fontId="15" fillId="0" borderId="22" xfId="0" applyNumberFormat="1" applyFont="1" applyBorder="1" applyAlignment="1">
      <alignment horizontal="center" vertical="center" wrapText="1"/>
    </xf>
    <xf numFmtId="165" fontId="9" fillId="0" borderId="22" xfId="0" applyNumberFormat="1" applyFont="1" applyBorder="1" applyAlignment="1">
      <alignment horizontal="center" vertical="center" wrapText="1"/>
    </xf>
    <xf numFmtId="0" fontId="0" fillId="0" borderId="25" xfId="0" applyBorder="1"/>
    <xf numFmtId="164" fontId="16" fillId="9" borderId="25" xfId="0" applyNumberFormat="1" applyFont="1" applyFill="1" applyBorder="1" applyAlignment="1">
      <alignment horizontal="center" vertical="center" wrapText="1"/>
    </xf>
    <xf numFmtId="0" fontId="8" fillId="0" borderId="25" xfId="0" applyFont="1" applyBorder="1"/>
    <xf numFmtId="0" fontId="0" fillId="0" borderId="23" xfId="0" applyBorder="1"/>
    <xf numFmtId="164" fontId="16" fillId="9" borderId="23" xfId="0" applyNumberFormat="1" applyFont="1" applyFill="1" applyBorder="1" applyAlignment="1">
      <alignment horizontal="center" vertical="center" wrapText="1"/>
    </xf>
    <xf numFmtId="0" fontId="8" fillId="0" borderId="23" xfId="0" applyFont="1" applyBorder="1"/>
    <xf numFmtId="0" fontId="0" fillId="17" borderId="12" xfId="0" applyFill="1" applyBorder="1" applyAlignment="1">
      <alignment horizontal="center" vertical="center" wrapText="1"/>
    </xf>
    <xf numFmtId="0" fontId="33" fillId="4" borderId="12" xfId="2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6" fillId="18" borderId="12" xfId="0" applyFont="1" applyFill="1" applyBorder="1" applyAlignment="1">
      <alignment horizontal="center" vertical="center" wrapText="1"/>
    </xf>
    <xf numFmtId="0" fontId="4" fillId="16" borderId="12" xfId="0" applyFont="1" applyFill="1" applyBorder="1" applyAlignment="1">
      <alignment horizontal="center" vertical="center" wrapText="1"/>
    </xf>
    <xf numFmtId="0" fontId="4" fillId="19" borderId="12" xfId="0" applyFont="1" applyFill="1" applyBorder="1" applyAlignment="1">
      <alignment horizontal="center" vertical="center" wrapText="1"/>
    </xf>
    <xf numFmtId="0" fontId="16" fillId="19" borderId="12" xfId="0" applyFont="1" applyFill="1" applyBorder="1" applyAlignment="1">
      <alignment horizontal="center" vertical="center" wrapText="1"/>
    </xf>
    <xf numFmtId="165" fontId="16" fillId="19" borderId="12" xfId="0" applyNumberFormat="1" applyFont="1" applyFill="1" applyBorder="1" applyAlignment="1">
      <alignment horizontal="center" vertical="center" wrapText="1"/>
    </xf>
    <xf numFmtId="0" fontId="4" fillId="20" borderId="22" xfId="0" applyFont="1" applyFill="1" applyBorder="1" applyAlignment="1">
      <alignment horizontal="center" vertical="center" wrapText="1"/>
    </xf>
    <xf numFmtId="0" fontId="16" fillId="20" borderId="22" xfId="0" applyFont="1" applyFill="1" applyBorder="1" applyAlignment="1">
      <alignment horizontal="center" vertical="center" wrapText="1"/>
    </xf>
    <xf numFmtId="0" fontId="8" fillId="21" borderId="22" xfId="0" applyFont="1" applyFill="1" applyBorder="1" applyAlignment="1">
      <alignment wrapText="1"/>
    </xf>
    <xf numFmtId="2" fontId="16" fillId="20" borderId="22" xfId="0" applyNumberFormat="1" applyFont="1" applyFill="1" applyBorder="1" applyAlignment="1">
      <alignment horizontal="center" vertical="center" wrapText="1"/>
    </xf>
    <xf numFmtId="0" fontId="0" fillId="19" borderId="12" xfId="0" applyFill="1" applyBorder="1" applyAlignment="1">
      <alignment horizontal="center" vertical="center" wrapText="1"/>
    </xf>
    <xf numFmtId="0" fontId="0" fillId="16" borderId="12" xfId="0" applyFill="1" applyBorder="1" applyAlignment="1">
      <alignment horizontal="center" vertical="center" wrapText="1"/>
    </xf>
    <xf numFmtId="164" fontId="16" fillId="22" borderId="1" xfId="0" applyNumberFormat="1" applyFont="1" applyFill="1" applyBorder="1" applyAlignment="1">
      <alignment horizontal="center"/>
    </xf>
    <xf numFmtId="164" fontId="16" fillId="23" borderId="0" xfId="0" applyNumberFormat="1" applyFont="1" applyFill="1" applyAlignment="1">
      <alignment horizontal="center"/>
    </xf>
    <xf numFmtId="164" fontId="0" fillId="23" borderId="0" xfId="0" applyNumberFormat="1" applyFill="1" applyAlignment="1">
      <alignment horizontal="center"/>
    </xf>
    <xf numFmtId="165" fontId="32" fillId="4" borderId="12" xfId="0" applyNumberFormat="1" applyFont="1" applyFill="1" applyBorder="1" applyAlignment="1">
      <alignment horizontal="center" vertical="center" wrapText="1"/>
    </xf>
    <xf numFmtId="165" fontId="32" fillId="2" borderId="12" xfId="0" applyNumberFormat="1" applyFont="1" applyFill="1" applyBorder="1" applyAlignment="1">
      <alignment horizontal="center" vertical="center" wrapText="1"/>
    </xf>
    <xf numFmtId="165" fontId="4" fillId="19" borderId="12" xfId="0" applyNumberFormat="1" applyFont="1" applyFill="1" applyBorder="1" applyAlignment="1">
      <alignment horizontal="center" vertical="center" wrapText="1"/>
    </xf>
    <xf numFmtId="0" fontId="8" fillId="23" borderId="22" xfId="0" applyFont="1" applyFill="1" applyBorder="1"/>
    <xf numFmtId="167" fontId="15" fillId="0" borderId="25" xfId="0" applyNumberFormat="1" applyFont="1" applyBorder="1" applyAlignment="1">
      <alignment horizontal="center" vertical="center" wrapText="1"/>
    </xf>
    <xf numFmtId="167" fontId="16" fillId="9" borderId="25" xfId="0" applyNumberFormat="1" applyFont="1" applyFill="1" applyBorder="1" applyAlignment="1">
      <alignment horizontal="center" vertical="center" wrapText="1"/>
    </xf>
    <xf numFmtId="167" fontId="15" fillId="9" borderId="25" xfId="0" applyNumberFormat="1" applyFont="1" applyFill="1" applyBorder="1" applyAlignment="1">
      <alignment horizontal="center" vertical="center" wrapText="1"/>
    </xf>
    <xf numFmtId="164" fontId="15" fillId="0" borderId="27" xfId="0" applyNumberFormat="1" applyFont="1" applyBorder="1" applyAlignment="1">
      <alignment horizontal="center" vertical="center" wrapText="1"/>
    </xf>
    <xf numFmtId="164" fontId="16" fillId="9" borderId="27" xfId="0" applyNumberFormat="1" applyFont="1" applyFill="1" applyBorder="1" applyAlignment="1">
      <alignment horizontal="center" vertical="center" wrapText="1"/>
    </xf>
    <xf numFmtId="164" fontId="15" fillId="9" borderId="27" xfId="0" applyNumberFormat="1" applyFont="1" applyFill="1" applyBorder="1" applyAlignment="1">
      <alignment horizontal="center" vertical="center" wrapText="1"/>
    </xf>
    <xf numFmtId="165" fontId="14" fillId="0" borderId="23" xfId="0" applyNumberFormat="1" applyFont="1" applyBorder="1" applyAlignment="1">
      <alignment horizontal="center" vertical="center"/>
    </xf>
    <xf numFmtId="165" fontId="0" fillId="24" borderId="23" xfId="0" applyNumberFormat="1" applyFill="1" applyBorder="1" applyAlignment="1">
      <alignment horizontal="center" vertical="center" wrapText="1"/>
    </xf>
    <xf numFmtId="165" fontId="32" fillId="24" borderId="23" xfId="0" applyNumberFormat="1" applyFont="1" applyFill="1" applyBorder="1" applyAlignment="1">
      <alignment horizontal="center" vertical="center" wrapText="1"/>
    </xf>
    <xf numFmtId="165" fontId="16" fillId="24" borderId="23" xfId="0" applyNumberFormat="1" applyFont="1" applyFill="1" applyBorder="1" applyAlignment="1">
      <alignment horizontal="center" vertical="center" wrapText="1"/>
    </xf>
    <xf numFmtId="165" fontId="4" fillId="24" borderId="23" xfId="0" applyNumberFormat="1" applyFont="1" applyFill="1" applyBorder="1" applyAlignment="1">
      <alignment horizontal="center" vertical="center" wrapText="1"/>
    </xf>
    <xf numFmtId="165" fontId="9" fillId="23" borderId="23" xfId="0" applyNumberFormat="1" applyFont="1" applyFill="1" applyBorder="1" applyAlignment="1">
      <alignment horizontal="center" vertical="center" wrapText="1"/>
    </xf>
    <xf numFmtId="165" fontId="0" fillId="16" borderId="23" xfId="0" applyNumberFormat="1" applyFill="1" applyBorder="1" applyAlignment="1">
      <alignment horizontal="center" vertical="center" wrapText="1"/>
    </xf>
    <xf numFmtId="165" fontId="32" fillId="16" borderId="23" xfId="0" applyNumberFormat="1" applyFont="1" applyFill="1" applyBorder="1" applyAlignment="1">
      <alignment horizontal="center" vertical="center" wrapText="1"/>
    </xf>
    <xf numFmtId="165" fontId="16" fillId="16" borderId="23" xfId="0" applyNumberFormat="1" applyFont="1" applyFill="1" applyBorder="1" applyAlignment="1">
      <alignment horizontal="center" vertical="center" wrapText="1"/>
    </xf>
    <xf numFmtId="165" fontId="4" fillId="16" borderId="23" xfId="0" applyNumberFormat="1" applyFont="1" applyFill="1" applyBorder="1" applyAlignment="1">
      <alignment horizontal="center" vertical="center" wrapText="1"/>
    </xf>
    <xf numFmtId="2" fontId="16" fillId="24" borderId="26" xfId="0" applyNumberFormat="1" applyFont="1" applyFill="1" applyBorder="1" applyAlignment="1">
      <alignment horizontal="center" vertical="center" wrapText="1"/>
    </xf>
    <xf numFmtId="0" fontId="34" fillId="0" borderId="0" xfId="0" applyFont="1"/>
    <xf numFmtId="173" fontId="32" fillId="0" borderId="0" xfId="0" applyNumberFormat="1" applyFont="1"/>
    <xf numFmtId="164" fontId="32" fillId="0" borderId="0" xfId="0" applyNumberFormat="1" applyFont="1"/>
    <xf numFmtId="164" fontId="8" fillId="23" borderId="22" xfId="0" applyNumberFormat="1" applyFont="1" applyFill="1" applyBorder="1"/>
    <xf numFmtId="164" fontId="34" fillId="0" borderId="0" xfId="0" applyNumberFormat="1" applyFont="1" applyAlignment="1">
      <alignment horizontal="right"/>
    </xf>
    <xf numFmtId="164" fontId="32" fillId="25" borderId="0" xfId="0" applyNumberFormat="1" applyFont="1" applyFill="1"/>
    <xf numFmtId="164" fontId="34" fillId="25" borderId="0" xfId="0" applyNumberFormat="1" applyFont="1" applyFill="1" applyAlignment="1">
      <alignment horizontal="right"/>
    </xf>
    <xf numFmtId="9" fontId="0" fillId="0" borderId="0" xfId="3" applyFont="1" applyAlignment="1"/>
    <xf numFmtId="0" fontId="37" fillId="27" borderId="28" xfId="5" applyAlignment="1"/>
    <xf numFmtId="0" fontId="36" fillId="26" borderId="28" xfId="4" applyBorder="1" applyAlignment="1"/>
    <xf numFmtId="0" fontId="0" fillId="0" borderId="12" xfId="6" applyFont="1"/>
    <xf numFmtId="164" fontId="39" fillId="28" borderId="12" xfId="7" applyNumberFormat="1"/>
    <xf numFmtId="0" fontId="38" fillId="29" borderId="12" xfId="8" applyAlignment="1"/>
    <xf numFmtId="0" fontId="0" fillId="21" borderId="12" xfId="6" applyFont="1" applyFill="1"/>
    <xf numFmtId="171" fontId="39" fillId="28" borderId="12" xfId="7" applyNumberFormat="1"/>
    <xf numFmtId="171" fontId="0" fillId="0" borderId="12" xfId="6" applyNumberFormat="1" applyFont="1"/>
    <xf numFmtId="0" fontId="40" fillId="30" borderId="12" xfId="6" applyFont="1" applyFill="1" applyAlignment="1">
      <alignment horizontal="center" vertical="center"/>
    </xf>
    <xf numFmtId="0" fontId="40" fillId="30" borderId="12" xfId="6" applyFont="1" applyFill="1" applyAlignment="1">
      <alignment horizontal="center"/>
    </xf>
    <xf numFmtId="9" fontId="40" fillId="30" borderId="12" xfId="6" applyNumberFormat="1" applyFont="1" applyFill="1" applyAlignment="1">
      <alignment horizontal="center"/>
    </xf>
    <xf numFmtId="164" fontId="0" fillId="0" borderId="12" xfId="6" applyNumberFormat="1" applyFont="1"/>
    <xf numFmtId="2" fontId="0" fillId="0" borderId="12" xfId="6" applyNumberFormat="1" applyFont="1"/>
    <xf numFmtId="0" fontId="41" fillId="31" borderId="0" xfId="0" applyFont="1" applyFill="1"/>
    <xf numFmtId="0" fontId="42" fillId="31" borderId="0" xfId="0" applyFont="1" applyFill="1"/>
    <xf numFmtId="0" fontId="42" fillId="0" borderId="0" xfId="0" applyFont="1"/>
    <xf numFmtId="0" fontId="43" fillId="32" borderId="0" xfId="0" applyFont="1" applyFill="1"/>
    <xf numFmtId="0" fontId="42" fillId="33" borderId="0" xfId="0" applyFont="1" applyFill="1"/>
    <xf numFmtId="0" fontId="45" fillId="0" borderId="12" xfId="6" applyFont="1"/>
    <xf numFmtId="0" fontId="43" fillId="0" borderId="0" xfId="0" applyFont="1"/>
    <xf numFmtId="171" fontId="43" fillId="0" borderId="0" xfId="0" applyNumberFormat="1" applyFont="1"/>
    <xf numFmtId="171" fontId="46" fillId="34" borderId="12" xfId="6" applyNumberFormat="1" applyFont="1" applyFill="1"/>
    <xf numFmtId="164" fontId="44" fillId="28" borderId="12" xfId="7" applyNumberFormat="1" applyFont="1"/>
    <xf numFmtId="174" fontId="0" fillId="0" borderId="0" xfId="0" applyNumberFormat="1"/>
    <xf numFmtId="0" fontId="35" fillId="0" borderId="12" xfId="6"/>
    <xf numFmtId="44" fontId="46" fillId="34" borderId="12" xfId="6" applyNumberFormat="1" applyFont="1" applyFill="1"/>
    <xf numFmtId="0" fontId="38" fillId="0" borderId="12" xfId="8" applyFill="1" applyAlignment="1"/>
    <xf numFmtId="44" fontId="46" fillId="0" borderId="12" xfId="6" applyNumberFormat="1" applyFont="1"/>
    <xf numFmtId="171" fontId="0" fillId="0" borderId="12" xfId="1" applyNumberFormat="1" applyFont="1" applyBorder="1"/>
    <xf numFmtId="44" fontId="0" fillId="0" borderId="12" xfId="6" applyNumberFormat="1" applyFont="1"/>
    <xf numFmtId="0" fontId="41" fillId="0" borderId="0" xfId="0" applyFont="1"/>
    <xf numFmtId="0" fontId="47" fillId="0" borderId="0" xfId="0" applyFont="1"/>
    <xf numFmtId="1" fontId="0" fillId="0" borderId="0" xfId="0" applyNumberFormat="1"/>
    <xf numFmtId="0" fontId="0" fillId="35" borderId="0" xfId="0" applyFill="1"/>
    <xf numFmtId="1" fontId="0" fillId="35" borderId="0" xfId="0" applyNumberFormat="1" applyFill="1"/>
    <xf numFmtId="0" fontId="45" fillId="0" borderId="0" xfId="0" applyFont="1"/>
    <xf numFmtId="0" fontId="45" fillId="0" borderId="0" xfId="0" applyFont="1" applyAlignment="1">
      <alignment wrapText="1"/>
    </xf>
    <xf numFmtId="171" fontId="48" fillId="0" borderId="0" xfId="0" applyNumberFormat="1" applyFont="1"/>
    <xf numFmtId="171" fontId="0" fillId="36" borderId="12" xfId="6" applyNumberFormat="1" applyFont="1" applyFill="1"/>
    <xf numFmtId="9" fontId="39" fillId="28" borderId="12" xfId="3" applyFont="1" applyFill="1" applyBorder="1"/>
    <xf numFmtId="9" fontId="49" fillId="34" borderId="12" xfId="3" applyFont="1" applyFill="1" applyBorder="1"/>
    <xf numFmtId="0" fontId="0" fillId="32" borderId="0" xfId="0" applyFill="1"/>
    <xf numFmtId="0" fontId="0" fillId="0" borderId="0" xfId="0" applyAlignment="1">
      <alignment wrapText="1"/>
    </xf>
    <xf numFmtId="171" fontId="0" fillId="0" borderId="0" xfId="0" applyNumberFormat="1" applyAlignment="1">
      <alignment wrapText="1"/>
    </xf>
    <xf numFmtId="171" fontId="0" fillId="0" borderId="0" xfId="1" applyNumberFormat="1" applyFont="1" applyAlignment="1">
      <alignment wrapText="1"/>
    </xf>
    <xf numFmtId="9" fontId="0" fillId="0" borderId="0" xfId="3" applyFont="1"/>
    <xf numFmtId="0" fontId="2" fillId="3" borderId="2" xfId="0" applyFont="1" applyFill="1" applyBorder="1" applyAlignment="1">
      <alignment horizontal="center" vertical="center" textRotation="90"/>
    </xf>
    <xf numFmtId="0" fontId="4" fillId="0" borderId="3" xfId="0" applyFont="1" applyBorder="1"/>
    <xf numFmtId="0" fontId="4" fillId="0" borderId="4" xfId="0" applyFont="1" applyBorder="1"/>
    <xf numFmtId="0" fontId="2" fillId="7" borderId="2" xfId="0" applyFont="1" applyFill="1" applyBorder="1" applyAlignment="1">
      <alignment horizontal="center" vertical="center" textRotation="90"/>
    </xf>
    <xf numFmtId="0" fontId="2" fillId="5" borderId="2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4" fillId="0" borderId="12" xfId="0" applyFont="1" applyBorder="1"/>
    <xf numFmtId="0" fontId="0" fillId="2" borderId="2" xfId="0" applyFill="1" applyBorder="1" applyAlignment="1">
      <alignment horizontal="center" vertical="center" textRotation="90"/>
    </xf>
    <xf numFmtId="0" fontId="4" fillId="0" borderId="15" xfId="0" applyFont="1" applyBorder="1"/>
    <xf numFmtId="0" fontId="0" fillId="0" borderId="0" xfId="0" applyAlignment="1">
      <alignment horizontal="center"/>
    </xf>
    <xf numFmtId="0" fontId="21" fillId="12" borderId="1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/>
    <xf numFmtId="0" fontId="21" fillId="11" borderId="11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textRotation="90"/>
    </xf>
    <xf numFmtId="0" fontId="0" fillId="12" borderId="2" xfId="0" applyFill="1" applyBorder="1" applyAlignment="1">
      <alignment horizontal="center"/>
    </xf>
    <xf numFmtId="0" fontId="45" fillId="0" borderId="0" xfId="0" applyFont="1" applyAlignment="1">
      <alignment horizontal="left"/>
    </xf>
  </cellXfs>
  <cellStyles count="9">
    <cellStyle name="Accent5 2" xfId="8" xr:uid="{EB6972E7-BCF2-4845-BB20-DBF487F89B9D}"/>
    <cellStyle name="Currency" xfId="1" builtinId="4"/>
    <cellStyle name="Good 2" xfId="7" xr:uid="{FBE319BB-C99D-9B44-9786-4BB3814DEFD5}"/>
    <cellStyle name="Hyperlink" xfId="2" builtinId="8"/>
    <cellStyle name="Input" xfId="5" builtinId="20"/>
    <cellStyle name="Neutral" xfId="4" builtinId="28"/>
    <cellStyle name="Normal" xfId="0" builtinId="0"/>
    <cellStyle name="Normal 2" xfId="6" xr:uid="{AE223988-9173-4247-9024-A7F4FB1D35B2}"/>
    <cellStyle name="Percent" xfId="3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1EEF9"/>
          <bgColor rgb="FFD1EEF9"/>
        </patternFill>
      </fill>
    </dxf>
    <dxf>
      <fill>
        <patternFill patternType="solid">
          <fgColor rgb="FFDFECEB"/>
          <bgColor rgb="FFDFECEB"/>
        </patternFill>
      </fill>
    </dxf>
    <dxf>
      <fill>
        <patternFill patternType="solid">
          <fgColor rgb="FF62A39F"/>
          <bgColor rgb="FF62A39F"/>
        </patternFill>
      </fill>
    </dxf>
  </dxfs>
  <tableStyles count="1" defaultTableStyle="TableStyleMedium2" defaultPivotStyle="PivotStyleLight16">
    <tableStyle name="Live-currencies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C2AC36-F64C-2C42-9010-53C036B007F2}">
  <we:reference id="wa104379220" version="8.0.0.0" store="en-US" storeType="OMEX"/>
  <we:alternateReferences>
    <we:reference id="wa104379220" version="8.0.0.0" store="WA104379220" storeType="OMEX"/>
  </we:alternateReferences>
  <we:properties>
    <we:property name="Office.AutoShowTaskpaneWithDocument" value="true"/>
    <we:property name="stocks" value="{&quot;USD____TRY&quot;:[&quot;USD____TRY&quot;,8.91,0.011328948860414878],&quot;EUR____USD&quot;:[&quot;EUR____USD&quot;,1.168,-0.0008554319931566399]}"/>
    <we:property name="stocksChange" value="{}"/>
    <we:property name="stocksOrder" value="[&quot;USD____TRY&quot;,&quot;EUR____USD&quot;]"/>
    <we:property name="stocksSources" value="{&quot;USD____TRY&quot;:0,&quot;EUR____USD&quot;:0}"/>
    <we:property name="updateIntervalIndex" value="2"/>
  </we:properties>
  <we:bindings>
    <we:binding id="USD____TRY" type="text" appref="{BD4F902C-2BFB-CD42-A8B3-51CA6DC5998A}"/>
    <we:binding id="EUR____USD" type="text" appref="{EC6900CA-DC09-AF40-BC0E-0F55D7F5642E}"/>
  </we:bindings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bosch-sensortec/BME280/6136306?s=N4IgTCBcDaIEYFsCmACMAOADCAugXyA" TargetMode="External"/><Relationship Id="rId2" Type="http://schemas.openxmlformats.org/officeDocument/2006/relationships/hyperlink" Target="https://urun.n11.com/gunes-enerjisi/gunes-enerji-paneli-solar-6v-15w-P198769898" TargetMode="External"/><Relationship Id="rId1" Type="http://schemas.openxmlformats.org/officeDocument/2006/relationships/hyperlink" Target="https://urun.n11.com/sarj-edilebilen-pil/panasonic-ncr18650b-37v-3400mah-li-ion-sarjli-pil-P107335109?gclid=Cj0KCQiA3dTQBRDnARIsAGKSflnsqduzgX_5Q6ZpAy8g7ChcntG3MRcp9TfPmRmMkBdA9apiIYLxwckaAtYrEALw_wcB&amp;gclsrc=aw.ds" TargetMode="Externa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zoomScale="116" workbookViewId="0">
      <selection activeCell="B58" sqref="B58"/>
    </sheetView>
  </sheetViews>
  <sheetFormatPr baseColWidth="10" defaultColWidth="14.33203125" defaultRowHeight="15" customHeight="1" x14ac:dyDescent="0.15"/>
  <cols>
    <col min="1" max="1" width="8.6640625" customWidth="1"/>
    <col min="2" max="2" width="36" customWidth="1"/>
    <col min="3" max="3" width="29" customWidth="1"/>
    <col min="4" max="5" width="15.1640625" customWidth="1"/>
    <col min="6" max="6" width="16.83203125" customWidth="1"/>
    <col min="7" max="13" width="8.6640625" customWidth="1"/>
  </cols>
  <sheetData>
    <row r="1" spans="1:12" ht="19" x14ac:dyDescent="0.2">
      <c r="A1" s="237" t="s">
        <v>119</v>
      </c>
      <c r="B1" s="238"/>
    </row>
    <row r="2" spans="1:12" ht="14.25" customHeight="1" x14ac:dyDescent="0.15"/>
    <row r="3" spans="1:12" ht="14.25" customHeight="1" x14ac:dyDescent="0.15">
      <c r="B3" s="1" t="s">
        <v>0</v>
      </c>
      <c r="C3" s="2" t="s">
        <v>1</v>
      </c>
      <c r="D3" s="1" t="s">
        <v>2</v>
      </c>
      <c r="E3" s="1" t="s">
        <v>3</v>
      </c>
      <c r="F3" s="1" t="s">
        <v>4</v>
      </c>
    </row>
    <row r="4" spans="1:12" ht="14.25" customHeight="1" x14ac:dyDescent="0.15">
      <c r="A4" s="232" t="s">
        <v>5</v>
      </c>
      <c r="B4" t="s">
        <v>6</v>
      </c>
      <c r="C4" s="3">
        <v>2</v>
      </c>
      <c r="D4" s="4">
        <v>0</v>
      </c>
      <c r="E4" s="3">
        <v>0</v>
      </c>
      <c r="F4" s="4">
        <f t="shared" ref="F4:F10" si="0">C4*$I$5+D4*E4</f>
        <v>1120</v>
      </c>
      <c r="I4" s="5" t="s">
        <v>7</v>
      </c>
      <c r="L4" s="5" t="s">
        <v>8</v>
      </c>
    </row>
    <row r="5" spans="1:12" ht="14.25" customHeight="1" x14ac:dyDescent="0.15">
      <c r="A5" s="233"/>
      <c r="B5" t="s">
        <v>9</v>
      </c>
      <c r="C5" s="3">
        <v>1</v>
      </c>
      <c r="D5" s="4">
        <v>0</v>
      </c>
      <c r="E5" s="3">
        <v>0</v>
      </c>
      <c r="F5" s="4">
        <f t="shared" si="0"/>
        <v>560</v>
      </c>
      <c r="I5" s="6">
        <f>8*70</f>
        <v>560</v>
      </c>
      <c r="L5" s="6">
        <f>20*8</f>
        <v>160</v>
      </c>
    </row>
    <row r="6" spans="1:12" ht="14.25" customHeight="1" x14ac:dyDescent="0.15">
      <c r="A6" s="233"/>
      <c r="B6" t="s">
        <v>10</v>
      </c>
      <c r="C6" s="3">
        <v>2</v>
      </c>
      <c r="D6" s="4">
        <v>0</v>
      </c>
      <c r="E6" s="3">
        <v>5</v>
      </c>
      <c r="F6" s="4">
        <f t="shared" si="0"/>
        <v>1120</v>
      </c>
    </row>
    <row r="7" spans="1:12" ht="14.25" customHeight="1" x14ac:dyDescent="0.15">
      <c r="A7" s="233"/>
      <c r="B7" t="s">
        <v>11</v>
      </c>
      <c r="C7" s="3">
        <v>1</v>
      </c>
      <c r="D7" s="4">
        <v>0</v>
      </c>
      <c r="E7" s="3">
        <v>0</v>
      </c>
      <c r="F7" s="4">
        <f t="shared" si="0"/>
        <v>560</v>
      </c>
    </row>
    <row r="8" spans="1:12" ht="14.25" customHeight="1" x14ac:dyDescent="0.15">
      <c r="A8" s="233"/>
      <c r="B8" t="s">
        <v>12</v>
      </c>
      <c r="C8" s="3">
        <v>1</v>
      </c>
      <c r="D8" s="4">
        <v>0</v>
      </c>
      <c r="E8" s="3">
        <v>0</v>
      </c>
      <c r="F8" s="4">
        <f t="shared" si="0"/>
        <v>560</v>
      </c>
    </row>
    <row r="9" spans="1:12" ht="14.25" customHeight="1" x14ac:dyDescent="0.15">
      <c r="A9" s="233"/>
      <c r="B9" t="s">
        <v>13</v>
      </c>
      <c r="C9" s="3">
        <v>1</v>
      </c>
      <c r="D9" s="4">
        <v>0</v>
      </c>
      <c r="E9" s="3">
        <v>0</v>
      </c>
      <c r="F9" s="4">
        <f t="shared" si="0"/>
        <v>560</v>
      </c>
    </row>
    <row r="10" spans="1:12" ht="14.25" customHeight="1" x14ac:dyDescent="0.15">
      <c r="A10" s="234"/>
      <c r="B10" t="s">
        <v>14</v>
      </c>
      <c r="C10" s="7">
        <v>0.5</v>
      </c>
      <c r="D10" s="4">
        <v>0</v>
      </c>
      <c r="E10" s="3">
        <v>0</v>
      </c>
      <c r="F10" s="4">
        <f t="shared" si="0"/>
        <v>280</v>
      </c>
    </row>
    <row r="11" spans="1:12" ht="14.25" customHeight="1" x14ac:dyDescent="0.15">
      <c r="A11" s="8"/>
      <c r="B11" s="8"/>
      <c r="C11" s="8"/>
      <c r="D11" s="8"/>
      <c r="E11" s="9" t="s">
        <v>15</v>
      </c>
      <c r="F11" s="10">
        <f>SUM(F4:F10)</f>
        <v>4760</v>
      </c>
    </row>
    <row r="12" spans="1:12" ht="14.25" customHeight="1" x14ac:dyDescent="0.15"/>
    <row r="13" spans="1:12" ht="14.25" customHeight="1" x14ac:dyDescent="0.15"/>
    <row r="14" spans="1:12" ht="14.25" customHeight="1" x14ac:dyDescent="0.15">
      <c r="B14" s="1" t="s">
        <v>0</v>
      </c>
      <c r="C14" s="2" t="s">
        <v>1</v>
      </c>
      <c r="D14" s="1" t="s">
        <v>2</v>
      </c>
      <c r="E14" s="1" t="s">
        <v>3</v>
      </c>
      <c r="F14" s="1" t="s">
        <v>4</v>
      </c>
    </row>
    <row r="15" spans="1:12" ht="14.25" customHeight="1" x14ac:dyDescent="0.15">
      <c r="A15" s="232" t="s">
        <v>16</v>
      </c>
      <c r="B15" t="s">
        <v>6</v>
      </c>
      <c r="C15" s="7">
        <v>0.25</v>
      </c>
      <c r="D15" s="4">
        <v>0</v>
      </c>
      <c r="E15" s="3">
        <v>0</v>
      </c>
      <c r="F15" s="4">
        <f t="shared" ref="F15:F22" si="1">C15*$I$5+D15*E15</f>
        <v>140</v>
      </c>
    </row>
    <row r="16" spans="1:12" ht="14.25" customHeight="1" x14ac:dyDescent="0.15">
      <c r="A16" s="233"/>
      <c r="B16" t="s">
        <v>9</v>
      </c>
      <c r="C16" s="3">
        <v>1</v>
      </c>
      <c r="D16" s="4">
        <v>0</v>
      </c>
      <c r="E16" s="3">
        <v>0</v>
      </c>
      <c r="F16" s="4">
        <f t="shared" si="1"/>
        <v>560</v>
      </c>
    </row>
    <row r="17" spans="1:6" ht="14.25" customHeight="1" x14ac:dyDescent="0.15">
      <c r="A17" s="233"/>
      <c r="B17" t="s">
        <v>17</v>
      </c>
      <c r="C17" s="3">
        <v>0</v>
      </c>
      <c r="D17" s="4">
        <v>0</v>
      </c>
      <c r="E17" s="3">
        <v>2</v>
      </c>
      <c r="F17" s="4">
        <f t="shared" si="1"/>
        <v>0</v>
      </c>
    </row>
    <row r="18" spans="1:6" ht="14.25" customHeight="1" x14ac:dyDescent="0.15">
      <c r="A18" s="233"/>
      <c r="B18" t="s">
        <v>10</v>
      </c>
      <c r="C18" s="3">
        <v>1</v>
      </c>
      <c r="D18" s="4">
        <v>0</v>
      </c>
      <c r="E18" s="3">
        <v>5</v>
      </c>
      <c r="F18" s="4">
        <f t="shared" si="1"/>
        <v>560</v>
      </c>
    </row>
    <row r="19" spans="1:6" ht="14.25" customHeight="1" x14ac:dyDescent="0.15">
      <c r="A19" s="233"/>
      <c r="B19" t="s">
        <v>11</v>
      </c>
      <c r="C19" s="3">
        <v>1</v>
      </c>
      <c r="D19" s="4">
        <v>0</v>
      </c>
      <c r="E19" s="3">
        <v>0</v>
      </c>
      <c r="F19" s="4">
        <f t="shared" si="1"/>
        <v>560</v>
      </c>
    </row>
    <row r="20" spans="1:6" ht="14.25" customHeight="1" x14ac:dyDescent="0.15">
      <c r="A20" s="233"/>
      <c r="B20" t="s">
        <v>12</v>
      </c>
      <c r="C20" s="7">
        <v>0.25</v>
      </c>
      <c r="D20" s="4">
        <v>0</v>
      </c>
      <c r="E20" s="3">
        <v>0</v>
      </c>
      <c r="F20" s="4">
        <f t="shared" si="1"/>
        <v>140</v>
      </c>
    </row>
    <row r="21" spans="1:6" ht="14.25" customHeight="1" x14ac:dyDescent="0.15">
      <c r="A21" s="233"/>
      <c r="B21" t="s">
        <v>13</v>
      </c>
      <c r="C21" s="7">
        <v>0</v>
      </c>
      <c r="D21" s="4">
        <v>0</v>
      </c>
      <c r="E21" s="3">
        <v>0</v>
      </c>
      <c r="F21" s="4">
        <f t="shared" si="1"/>
        <v>0</v>
      </c>
    </row>
    <row r="22" spans="1:6" ht="14.25" customHeight="1" x14ac:dyDescent="0.15">
      <c r="A22" s="234"/>
      <c r="B22" t="s">
        <v>14</v>
      </c>
      <c r="C22" s="7">
        <v>0.5</v>
      </c>
      <c r="D22" s="4">
        <v>0</v>
      </c>
      <c r="E22" s="3">
        <v>0</v>
      </c>
      <c r="F22" s="4">
        <f t="shared" si="1"/>
        <v>280</v>
      </c>
    </row>
    <row r="23" spans="1:6" ht="14.25" customHeight="1" x14ac:dyDescent="0.15">
      <c r="A23" s="8"/>
      <c r="B23" s="8"/>
      <c r="C23" s="8"/>
      <c r="D23" s="8"/>
      <c r="E23" s="9" t="s">
        <v>15</v>
      </c>
      <c r="F23" s="10">
        <f>SUM(F15:F22)</f>
        <v>2240</v>
      </c>
    </row>
    <row r="24" spans="1:6" ht="14.25" customHeight="1" x14ac:dyDescent="0.15"/>
    <row r="25" spans="1:6" ht="14.25" customHeight="1" x14ac:dyDescent="0.15"/>
    <row r="26" spans="1:6" ht="14.25" customHeight="1" x14ac:dyDescent="0.15">
      <c r="B26" s="11" t="s">
        <v>0</v>
      </c>
      <c r="C26" s="12" t="s">
        <v>1</v>
      </c>
      <c r="D26" s="11" t="s">
        <v>2</v>
      </c>
      <c r="E26" s="11" t="s">
        <v>3</v>
      </c>
      <c r="F26" s="11" t="s">
        <v>4</v>
      </c>
    </row>
    <row r="27" spans="1:6" ht="14.25" customHeight="1" x14ac:dyDescent="0.15">
      <c r="A27" s="236" t="s">
        <v>18</v>
      </c>
      <c r="B27" t="s">
        <v>6</v>
      </c>
      <c r="C27" s="7">
        <v>0.25</v>
      </c>
      <c r="D27" s="4">
        <v>0</v>
      </c>
      <c r="E27" s="3">
        <v>0</v>
      </c>
      <c r="F27" s="4">
        <f t="shared" ref="F27:F34" si="2">C27*$I$5+D27*E27</f>
        <v>140</v>
      </c>
    </row>
    <row r="28" spans="1:6" ht="14.25" customHeight="1" x14ac:dyDescent="0.15">
      <c r="A28" s="233"/>
      <c r="B28" t="s">
        <v>9</v>
      </c>
      <c r="C28" s="3">
        <v>2</v>
      </c>
      <c r="D28" s="4">
        <v>0</v>
      </c>
      <c r="E28" s="3">
        <v>0</v>
      </c>
      <c r="F28" s="4">
        <f t="shared" si="2"/>
        <v>1120</v>
      </c>
    </row>
    <row r="29" spans="1:6" ht="14.25" customHeight="1" x14ac:dyDescent="0.15">
      <c r="A29" s="233"/>
      <c r="B29" t="s">
        <v>17</v>
      </c>
      <c r="C29" s="3">
        <v>0</v>
      </c>
      <c r="D29" s="4">
        <v>0</v>
      </c>
      <c r="E29" s="3">
        <v>2</v>
      </c>
      <c r="F29" s="4">
        <f t="shared" si="2"/>
        <v>0</v>
      </c>
    </row>
    <row r="30" spans="1:6" ht="14.25" customHeight="1" x14ac:dyDescent="0.15">
      <c r="A30" s="233"/>
      <c r="B30" t="s">
        <v>10</v>
      </c>
      <c r="C30" s="7">
        <v>0.5</v>
      </c>
      <c r="D30" s="4">
        <v>0</v>
      </c>
      <c r="E30" s="3">
        <v>0</v>
      </c>
      <c r="F30" s="4">
        <f t="shared" si="2"/>
        <v>280</v>
      </c>
    </row>
    <row r="31" spans="1:6" ht="14.25" customHeight="1" x14ac:dyDescent="0.15">
      <c r="A31" s="233"/>
      <c r="B31" t="s">
        <v>11</v>
      </c>
      <c r="C31" s="3">
        <v>1</v>
      </c>
      <c r="D31" s="4">
        <v>0</v>
      </c>
      <c r="E31" s="3">
        <v>0</v>
      </c>
      <c r="F31" s="4">
        <f t="shared" si="2"/>
        <v>560</v>
      </c>
    </row>
    <row r="32" spans="1:6" ht="14.25" customHeight="1" x14ac:dyDescent="0.15">
      <c r="A32" s="233"/>
      <c r="B32" t="s">
        <v>12</v>
      </c>
      <c r="C32" s="7">
        <v>0.25</v>
      </c>
      <c r="D32" s="4">
        <v>0</v>
      </c>
      <c r="E32" s="3">
        <v>0</v>
      </c>
      <c r="F32" s="4">
        <f t="shared" si="2"/>
        <v>140</v>
      </c>
    </row>
    <row r="33" spans="1:6" ht="14.25" customHeight="1" x14ac:dyDescent="0.15">
      <c r="A33" s="233"/>
      <c r="B33" t="s">
        <v>13</v>
      </c>
      <c r="C33" s="7">
        <v>0</v>
      </c>
      <c r="D33" s="4">
        <v>0</v>
      </c>
      <c r="E33" s="3">
        <v>0</v>
      </c>
      <c r="F33" s="4">
        <f t="shared" si="2"/>
        <v>0</v>
      </c>
    </row>
    <row r="34" spans="1:6" ht="14.25" customHeight="1" x14ac:dyDescent="0.15">
      <c r="A34" s="234"/>
      <c r="B34" t="s">
        <v>14</v>
      </c>
      <c r="C34" s="3">
        <v>1</v>
      </c>
      <c r="D34" s="4">
        <v>0</v>
      </c>
      <c r="E34" s="3">
        <v>0</v>
      </c>
      <c r="F34" s="4">
        <f t="shared" si="2"/>
        <v>560</v>
      </c>
    </row>
    <row r="35" spans="1:6" ht="14.25" customHeight="1" x14ac:dyDescent="0.15">
      <c r="A35" s="8"/>
      <c r="B35" s="8"/>
      <c r="C35" s="8"/>
      <c r="D35" s="8"/>
      <c r="E35" s="9" t="s">
        <v>15</v>
      </c>
      <c r="F35" s="10">
        <f>SUM(F27:F34)</f>
        <v>2800</v>
      </c>
    </row>
    <row r="36" spans="1:6" ht="14.25" customHeight="1" x14ac:dyDescent="0.15">
      <c r="E36" t="s">
        <v>19</v>
      </c>
      <c r="F36" s="6">
        <f>SUM(F35,F23,F11)</f>
        <v>9800</v>
      </c>
    </row>
    <row r="37" spans="1:6" ht="14.25" customHeight="1" x14ac:dyDescent="0.15"/>
    <row r="38" spans="1:6" ht="14.25" customHeight="1" x14ac:dyDescent="0.15"/>
    <row r="39" spans="1:6" ht="14.25" customHeight="1" x14ac:dyDescent="0.15">
      <c r="B39" s="13" t="s">
        <v>0</v>
      </c>
      <c r="C39" s="14" t="s">
        <v>1</v>
      </c>
      <c r="D39" s="13" t="s">
        <v>2</v>
      </c>
      <c r="E39" s="13" t="s">
        <v>3</v>
      </c>
      <c r="F39" s="13" t="s">
        <v>4</v>
      </c>
    </row>
    <row r="40" spans="1:6" ht="14.25" customHeight="1" x14ac:dyDescent="0.15">
      <c r="A40" s="235" t="s">
        <v>20</v>
      </c>
      <c r="B40" t="s">
        <v>21</v>
      </c>
      <c r="C40" s="15">
        <v>3</v>
      </c>
      <c r="D40">
        <v>0</v>
      </c>
      <c r="E40">
        <v>0</v>
      </c>
      <c r="F40" s="6">
        <f>C40*$I$5</f>
        <v>1680</v>
      </c>
    </row>
    <row r="41" spans="1:6" ht="14.25" customHeight="1" x14ac:dyDescent="0.15">
      <c r="A41" s="233"/>
      <c r="B41" t="s">
        <v>9</v>
      </c>
      <c r="C41" s="15">
        <v>2</v>
      </c>
      <c r="D41">
        <v>0</v>
      </c>
      <c r="E41">
        <v>0</v>
      </c>
      <c r="F41" s="6">
        <f>C41*$I$5</f>
        <v>1120</v>
      </c>
    </row>
    <row r="42" spans="1:6" ht="14.25" customHeight="1" x14ac:dyDescent="0.15">
      <c r="A42" s="233"/>
      <c r="B42" t="s">
        <v>11</v>
      </c>
      <c r="C42" s="15">
        <v>1</v>
      </c>
      <c r="D42">
        <v>0</v>
      </c>
      <c r="E42">
        <v>0</v>
      </c>
      <c r="F42" s="6">
        <f>C42*$I$5</f>
        <v>560</v>
      </c>
    </row>
    <row r="43" spans="1:6" ht="14.25" customHeight="1" x14ac:dyDescent="0.15">
      <c r="A43" s="234"/>
      <c r="B43" t="s">
        <v>14</v>
      </c>
      <c r="C43" s="15">
        <v>1</v>
      </c>
      <c r="D43">
        <v>0</v>
      </c>
      <c r="E43">
        <v>0</v>
      </c>
      <c r="F43" s="6">
        <f>C43*$I$5</f>
        <v>560</v>
      </c>
    </row>
    <row r="44" spans="1:6" ht="14.25" customHeight="1" x14ac:dyDescent="0.15">
      <c r="E44" s="5" t="s">
        <v>15</v>
      </c>
      <c r="F44" s="6">
        <f>SUM(F40:F43)</f>
        <v>3920</v>
      </c>
    </row>
    <row r="45" spans="1:6" ht="18" x14ac:dyDescent="0.2">
      <c r="A45" s="16"/>
      <c r="B45" s="16"/>
      <c r="C45" s="16"/>
      <c r="D45" s="16"/>
      <c r="E45" s="17" t="s">
        <v>22</v>
      </c>
      <c r="F45" s="18">
        <f>SUM(F11,F23,F35,F44)</f>
        <v>13720</v>
      </c>
    </row>
    <row r="46" spans="1:6" ht="14.25" customHeight="1" x14ac:dyDescent="0.15"/>
    <row r="47" spans="1:6" ht="14.25" customHeight="1" x14ac:dyDescent="0.15"/>
    <row r="48" spans="1:6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</sheetData>
  <mergeCells count="5">
    <mergeCell ref="A4:A10"/>
    <mergeCell ref="A40:A43"/>
    <mergeCell ref="A15:A22"/>
    <mergeCell ref="A27:A34"/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03"/>
  <sheetViews>
    <sheetView zoomScale="125" workbookViewId="0">
      <selection activeCell="H28" sqref="H28"/>
    </sheetView>
  </sheetViews>
  <sheetFormatPr baseColWidth="10" defaultColWidth="14.33203125" defaultRowHeight="15" customHeight="1" x14ac:dyDescent="0.15"/>
  <cols>
    <col min="1" max="1" width="22.1640625" customWidth="1"/>
    <col min="2" max="2" width="29.83203125" customWidth="1"/>
    <col min="3" max="3" width="24.33203125" customWidth="1"/>
    <col min="4" max="4" width="8.6640625" customWidth="1"/>
    <col min="5" max="5" width="16" customWidth="1"/>
    <col min="6" max="6" width="41.1640625" customWidth="1"/>
    <col min="7" max="7" width="8.83203125" customWidth="1"/>
    <col min="8" max="8" width="13.6640625" customWidth="1"/>
    <col min="9" max="9" width="12" customWidth="1"/>
    <col min="10" max="10" width="18.33203125" customWidth="1"/>
    <col min="11" max="11" width="13.1640625" customWidth="1"/>
    <col min="12" max="12" width="12.33203125" customWidth="1"/>
    <col min="13" max="13" width="13.6640625" customWidth="1"/>
    <col min="14" max="14" width="13.33203125" customWidth="1"/>
    <col min="15" max="16" width="13.83203125" customWidth="1"/>
  </cols>
  <sheetData>
    <row r="1" spans="1:16" ht="19.5" customHeight="1" x14ac:dyDescent="0.15">
      <c r="A1" s="239" t="s">
        <v>23</v>
      </c>
      <c r="B1" s="238"/>
      <c r="C1" s="19"/>
      <c r="D1" s="20"/>
      <c r="E1" s="19"/>
      <c r="F1" s="21"/>
      <c r="G1" s="22"/>
      <c r="H1" s="22"/>
      <c r="I1" s="22"/>
      <c r="J1" s="22"/>
      <c r="K1" s="22"/>
      <c r="L1" s="22"/>
      <c r="M1" s="22"/>
      <c r="N1" s="22"/>
      <c r="O1" s="19"/>
      <c r="P1" s="23"/>
    </row>
    <row r="2" spans="1:16" ht="13.5" customHeight="1" x14ac:dyDescent="0.15">
      <c r="A2" s="23"/>
      <c r="B2" s="24" t="s">
        <v>24</v>
      </c>
      <c r="C2" s="25" t="s">
        <v>25</v>
      </c>
      <c r="D2" s="23"/>
      <c r="E2" s="23"/>
      <c r="F2" s="26" t="s">
        <v>26</v>
      </c>
      <c r="G2" s="27"/>
      <c r="H2" s="27"/>
      <c r="I2" s="27"/>
      <c r="J2" s="27"/>
      <c r="K2" s="27"/>
      <c r="L2" s="27"/>
      <c r="M2" s="27"/>
      <c r="N2" s="28"/>
      <c r="O2" s="23"/>
      <c r="P2" s="29"/>
    </row>
    <row r="3" spans="1:16" ht="13.5" customHeight="1" x14ac:dyDescent="0.2">
      <c r="A3" s="23"/>
      <c r="B3" s="30" t="s">
        <v>27</v>
      </c>
      <c r="C3" s="31">
        <v>1</v>
      </c>
      <c r="D3" s="32"/>
      <c r="E3" s="20"/>
      <c r="F3" s="33"/>
      <c r="G3" s="28"/>
      <c r="H3" s="28"/>
      <c r="I3" s="28"/>
      <c r="J3" s="28"/>
      <c r="K3" s="28"/>
      <c r="L3" s="28"/>
      <c r="M3" s="28"/>
      <c r="N3" s="28"/>
      <c r="O3" s="23"/>
      <c r="P3" s="23"/>
    </row>
    <row r="4" spans="1:16" ht="13.5" customHeight="1" x14ac:dyDescent="0.2">
      <c r="A4" s="23"/>
      <c r="B4" s="30" t="s">
        <v>28</v>
      </c>
      <c r="C4" s="31">
        <v>1</v>
      </c>
      <c r="D4" s="32"/>
      <c r="E4" s="20"/>
      <c r="F4" s="33"/>
      <c r="G4" s="28"/>
      <c r="H4" s="28"/>
      <c r="I4" s="28"/>
      <c r="J4" s="28"/>
      <c r="K4" s="28"/>
      <c r="L4" s="28"/>
      <c r="M4" s="28"/>
      <c r="N4" s="28"/>
      <c r="O4" s="23"/>
      <c r="P4" s="23"/>
    </row>
    <row r="5" spans="1:16" ht="13.5" customHeight="1" x14ac:dyDescent="0.15">
      <c r="A5" s="23"/>
      <c r="B5" s="30"/>
      <c r="C5" s="31"/>
      <c r="D5" s="23"/>
      <c r="E5" s="23"/>
      <c r="F5" s="33"/>
      <c r="G5" s="28"/>
      <c r="H5" s="28"/>
      <c r="I5" s="28"/>
      <c r="J5" s="28"/>
      <c r="K5" s="28"/>
      <c r="L5" s="28"/>
      <c r="M5" s="28"/>
      <c r="N5" s="28"/>
      <c r="O5" s="23"/>
      <c r="P5" s="23"/>
    </row>
    <row r="6" spans="1:16" ht="13.5" customHeight="1" x14ac:dyDescent="0.15">
      <c r="A6" s="23"/>
      <c r="B6" s="34"/>
      <c r="C6" s="35"/>
      <c r="D6" s="23"/>
      <c r="E6" s="23"/>
      <c r="F6" s="33"/>
      <c r="G6" s="28"/>
      <c r="H6" s="28"/>
      <c r="I6" s="28" t="s">
        <v>29</v>
      </c>
      <c r="J6" s="28" t="s">
        <v>30</v>
      </c>
      <c r="K6" s="28" t="s">
        <v>31</v>
      </c>
      <c r="L6" s="28"/>
      <c r="M6" s="28"/>
      <c r="N6" s="28"/>
      <c r="O6" s="23"/>
      <c r="P6" s="23"/>
    </row>
    <row r="7" spans="1:16" ht="13.5" customHeight="1" x14ac:dyDescent="0.15">
      <c r="A7" s="23"/>
      <c r="B7" s="34"/>
      <c r="C7" s="35"/>
      <c r="D7" s="23"/>
      <c r="E7" s="23"/>
      <c r="F7" s="33"/>
      <c r="G7" s="28"/>
      <c r="H7" s="28"/>
      <c r="I7" s="28">
        <v>0.75</v>
      </c>
      <c r="J7" s="28">
        <v>0.75</v>
      </c>
      <c r="K7" s="28">
        <v>0.8</v>
      </c>
      <c r="M7" s="28"/>
    </row>
    <row r="8" spans="1:16" ht="19.5" customHeight="1" x14ac:dyDescent="0.15">
      <c r="A8" s="111" t="s">
        <v>32</v>
      </c>
      <c r="B8" s="111" t="s">
        <v>33</v>
      </c>
      <c r="C8" s="112" t="s">
        <v>34</v>
      </c>
      <c r="D8" s="112" t="s">
        <v>35</v>
      </c>
      <c r="E8" s="112" t="s">
        <v>36</v>
      </c>
      <c r="F8" s="113" t="s">
        <v>37</v>
      </c>
      <c r="G8" s="103" t="s">
        <v>38</v>
      </c>
      <c r="H8" s="103" t="s">
        <v>148</v>
      </c>
      <c r="I8" s="36" t="s">
        <v>39</v>
      </c>
      <c r="J8" s="36" t="s">
        <v>40</v>
      </c>
      <c r="K8" s="36" t="s">
        <v>41</v>
      </c>
      <c r="L8" s="103" t="s">
        <v>42</v>
      </c>
      <c r="M8" s="167" t="s">
        <v>150</v>
      </c>
      <c r="N8" s="103" t="s">
        <v>43</v>
      </c>
      <c r="O8" s="36" t="s">
        <v>44</v>
      </c>
      <c r="P8" s="36" t="s">
        <v>45</v>
      </c>
    </row>
    <row r="9" spans="1:16" ht="13.5" customHeight="1" x14ac:dyDescent="0.15">
      <c r="A9" s="108">
        <v>1</v>
      </c>
      <c r="B9" s="108" t="s">
        <v>142</v>
      </c>
      <c r="C9" s="108"/>
      <c r="D9" s="108"/>
      <c r="E9" s="108">
        <v>1</v>
      </c>
      <c r="F9" s="141" t="s">
        <v>143</v>
      </c>
      <c r="G9" s="104">
        <v>9</v>
      </c>
      <c r="H9" s="104">
        <v>4.9000000000000004</v>
      </c>
      <c r="I9" s="120">
        <f>G9*$I$7</f>
        <v>6.75</v>
      </c>
      <c r="J9" s="120">
        <f>I9*$J$7</f>
        <v>5.0625</v>
      </c>
      <c r="K9" s="120">
        <f>J9*$K$7</f>
        <v>4.05</v>
      </c>
      <c r="L9" s="161">
        <f>BOMCost!$E9*BOMCost!$G9</f>
        <v>9</v>
      </c>
      <c r="M9" s="168">
        <v>4.9000000000000004</v>
      </c>
      <c r="N9" s="164">
        <f>BOMCost!$E9*1000*BOMCost!$I9</f>
        <v>6750</v>
      </c>
      <c r="O9" s="132">
        <f>BOMCost!$E9*10000*BOMCost!$J9</f>
        <v>50625</v>
      </c>
      <c r="P9" s="132">
        <f>BOMCost!$E9*20000*BOMCost!$K9</f>
        <v>81000</v>
      </c>
    </row>
    <row r="10" spans="1:16" ht="13.5" customHeight="1" x14ac:dyDescent="0.15">
      <c r="A10" s="108">
        <v>2</v>
      </c>
      <c r="B10" s="108" t="s">
        <v>46</v>
      </c>
      <c r="C10" s="108"/>
      <c r="D10" s="108"/>
      <c r="E10" s="108">
        <v>1</v>
      </c>
      <c r="F10" s="108" t="s">
        <v>144</v>
      </c>
      <c r="G10" s="104"/>
      <c r="H10" s="157"/>
      <c r="I10" s="120">
        <f>G10*$I$7</f>
        <v>0</v>
      </c>
      <c r="J10" s="120">
        <f>I10*$J$7</f>
        <v>0</v>
      </c>
      <c r="K10" s="120">
        <f>J10*$K$7</f>
        <v>0</v>
      </c>
      <c r="L10" s="161">
        <f>BOMCost!$E10*BOMCost!$G10</f>
        <v>0</v>
      </c>
      <c r="M10" s="169">
        <v>25</v>
      </c>
      <c r="N10" s="164">
        <f>BOMCost!$E10*1000*BOMCost!$I10</f>
        <v>0</v>
      </c>
      <c r="O10" s="132">
        <f>BOMCost!$E10*10000*BOMCost!$J10</f>
        <v>0</v>
      </c>
      <c r="P10" s="132">
        <f>BOMCost!$E10*20000*BOMCost!$K10</f>
        <v>0</v>
      </c>
    </row>
    <row r="11" spans="1:16" ht="13.5" customHeight="1" x14ac:dyDescent="0.15">
      <c r="A11" s="89">
        <v>4</v>
      </c>
      <c r="B11" s="90" t="s">
        <v>47</v>
      </c>
      <c r="C11" s="89"/>
      <c r="D11" s="89"/>
      <c r="E11" s="89">
        <v>1</v>
      </c>
      <c r="F11" s="89"/>
      <c r="G11" s="105">
        <f>3</f>
        <v>3</v>
      </c>
      <c r="H11" s="105">
        <v>2</v>
      </c>
      <c r="I11" s="124">
        <f>G11*$I$7</f>
        <v>2.25</v>
      </c>
      <c r="J11" s="124">
        <f>I11*$J$7</f>
        <v>1.6875</v>
      </c>
      <c r="K11" s="124">
        <f>J11*$K$7</f>
        <v>1.35</v>
      </c>
      <c r="L11" s="162">
        <f>BOMCost!$E11*BOMCost!$G11</f>
        <v>3</v>
      </c>
      <c r="M11" s="170">
        <v>2</v>
      </c>
      <c r="N11" s="165">
        <f>BOMCost!$E11*1000*BOMCost!$I11</f>
        <v>2250</v>
      </c>
      <c r="O11" s="125">
        <f>BOMCost!$E11*10000*BOMCost!$J11</f>
        <v>16875</v>
      </c>
      <c r="P11" s="125">
        <f>BOMCost!$E11*20000*BOMCost!$K11</f>
        <v>27000</v>
      </c>
    </row>
    <row r="12" spans="1:16" ht="13.5" customHeight="1" x14ac:dyDescent="0.15">
      <c r="A12" s="89">
        <v>5</v>
      </c>
      <c r="B12" s="90" t="s">
        <v>147</v>
      </c>
      <c r="C12" s="143"/>
      <c r="D12" s="89"/>
      <c r="E12" s="89">
        <v>1</v>
      </c>
      <c r="F12" s="90" t="s">
        <v>52</v>
      </c>
      <c r="G12" s="91">
        <v>12</v>
      </c>
      <c r="H12" s="91">
        <v>6.5</v>
      </c>
      <c r="I12" s="120">
        <f>G12*$I$7</f>
        <v>9</v>
      </c>
      <c r="J12" s="120">
        <f>I12*$J$7</f>
        <v>6.75</v>
      </c>
      <c r="K12" s="120">
        <f>J12*$K$7</f>
        <v>5.4</v>
      </c>
      <c r="L12" s="161">
        <f>BOMCost!$E12*BOMCost!$G12</f>
        <v>12</v>
      </c>
      <c r="M12" s="171">
        <v>6.5</v>
      </c>
      <c r="N12" s="164">
        <f>BOMCost!$E12*1000*BOMCost!$I12</f>
        <v>9000</v>
      </c>
      <c r="O12" s="132">
        <f>BOMCost!$E12*10000*BOMCost!$J12</f>
        <v>67500</v>
      </c>
      <c r="P12" s="132">
        <f>BOMCost!$E12*20000*BOMCost!$K12</f>
        <v>108000</v>
      </c>
    </row>
    <row r="13" spans="1:16" ht="13.5" customHeight="1" x14ac:dyDescent="0.15">
      <c r="A13" s="89">
        <v>6</v>
      </c>
      <c r="B13" s="90" t="s">
        <v>149</v>
      </c>
      <c r="C13" s="143"/>
      <c r="D13" s="89"/>
      <c r="E13" s="89">
        <v>1</v>
      </c>
      <c r="F13" s="90"/>
      <c r="G13" s="91">
        <v>25</v>
      </c>
      <c r="H13" s="91">
        <v>20</v>
      </c>
      <c r="I13" s="120">
        <f>G13*$I$7</f>
        <v>18.75</v>
      </c>
      <c r="J13" s="120">
        <f>I13*$J$7</f>
        <v>14.0625</v>
      </c>
      <c r="K13" s="120">
        <f>J13*$K$7</f>
        <v>11.25</v>
      </c>
      <c r="L13" s="161">
        <f>BOMCost!$E13*BOMCost!$G13</f>
        <v>25</v>
      </c>
      <c r="M13" s="171">
        <v>1.55</v>
      </c>
      <c r="N13" s="164">
        <f>BOMCost!$E13*1000*BOMCost!$I13</f>
        <v>18750</v>
      </c>
      <c r="O13" s="132">
        <f>BOMCost!$E13*10000*BOMCost!$J13</f>
        <v>140625</v>
      </c>
      <c r="P13" s="132">
        <f>BOMCost!$E13*20000*BOMCost!$K13</f>
        <v>225000</v>
      </c>
    </row>
    <row r="14" spans="1:16" ht="13.5" customHeight="1" x14ac:dyDescent="0.15">
      <c r="A14" s="109"/>
      <c r="B14" s="109"/>
      <c r="C14" s="109"/>
      <c r="D14" s="109"/>
      <c r="E14" s="109"/>
      <c r="F14" s="114"/>
      <c r="G14" s="106"/>
      <c r="H14" s="106"/>
      <c r="I14" s="133"/>
      <c r="J14" s="120"/>
      <c r="K14" s="120"/>
      <c r="L14" s="161"/>
      <c r="M14" s="172"/>
      <c r="N14" s="164"/>
      <c r="O14" s="132"/>
      <c r="P14" s="132"/>
    </row>
    <row r="15" spans="1:16" ht="13.5" customHeight="1" x14ac:dyDescent="0.15">
      <c r="A15" s="110">
        <v>7</v>
      </c>
      <c r="B15" s="110" t="s">
        <v>48</v>
      </c>
      <c r="C15" s="110"/>
      <c r="D15" s="110"/>
      <c r="E15" s="110">
        <v>1</v>
      </c>
      <c r="F15" s="115" t="s">
        <v>49</v>
      </c>
      <c r="G15" s="107">
        <v>20</v>
      </c>
      <c r="H15" s="107">
        <v>18</v>
      </c>
      <c r="I15" s="120">
        <f t="shared" ref="I15:I23" si="0">G15*$I$7</f>
        <v>15</v>
      </c>
      <c r="J15" s="120">
        <f t="shared" ref="J15:J23" si="1">I15*$J$7</f>
        <v>11.25</v>
      </c>
      <c r="K15" s="120">
        <f t="shared" ref="K15:K23" si="2">J15*$K$7</f>
        <v>9</v>
      </c>
      <c r="L15" s="161">
        <f>BOMCost!$E15*BOMCost!$G15</f>
        <v>20</v>
      </c>
      <c r="M15" s="173">
        <v>18</v>
      </c>
      <c r="N15" s="164">
        <f>BOMCost!$E15*1000*BOMCost!$I15</f>
        <v>15000</v>
      </c>
      <c r="O15" s="132">
        <f>BOMCost!$E15*10000*BOMCost!$J15</f>
        <v>112500</v>
      </c>
      <c r="P15" s="132">
        <f>BOMCost!$E15*20000*BOMCost!$K15</f>
        <v>180000</v>
      </c>
    </row>
    <row r="16" spans="1:16" ht="13.5" customHeight="1" x14ac:dyDescent="0.15">
      <c r="A16" s="110">
        <v>8</v>
      </c>
      <c r="B16" s="110" t="s">
        <v>50</v>
      </c>
      <c r="C16" s="110"/>
      <c r="D16" s="110"/>
      <c r="E16" s="110">
        <v>1</v>
      </c>
      <c r="F16" s="115" t="s">
        <v>51</v>
      </c>
      <c r="G16" s="107">
        <v>5</v>
      </c>
      <c r="H16" s="107">
        <v>4.5</v>
      </c>
      <c r="I16" s="120">
        <f t="shared" si="0"/>
        <v>3.75</v>
      </c>
      <c r="J16" s="120">
        <f t="shared" si="1"/>
        <v>2.8125</v>
      </c>
      <c r="K16" s="120">
        <f t="shared" si="2"/>
        <v>2.25</v>
      </c>
      <c r="L16" s="161">
        <f>BOMCost!$E16*BOMCost!$G16</f>
        <v>5</v>
      </c>
      <c r="M16" s="173">
        <v>4.5</v>
      </c>
      <c r="N16" s="164">
        <f>BOMCost!$E16*1000*BOMCost!$I16</f>
        <v>3750</v>
      </c>
      <c r="O16" s="132">
        <f>BOMCost!$E16*10000*BOMCost!$J16</f>
        <v>28125</v>
      </c>
      <c r="P16" s="132">
        <f>BOMCost!$E16*20000*BOMCost!$K16</f>
        <v>45000</v>
      </c>
    </row>
    <row r="17" spans="1:49" ht="13.5" customHeight="1" x14ac:dyDescent="0.15">
      <c r="A17" s="110">
        <v>9</v>
      </c>
      <c r="B17" s="110" t="s">
        <v>147</v>
      </c>
      <c r="C17" s="140"/>
      <c r="D17" s="110"/>
      <c r="E17" s="110">
        <v>1</v>
      </c>
      <c r="F17" s="110" t="s">
        <v>52</v>
      </c>
      <c r="G17" s="107">
        <v>12</v>
      </c>
      <c r="H17" s="158">
        <v>6.5</v>
      </c>
      <c r="I17" s="120">
        <f t="shared" si="0"/>
        <v>9</v>
      </c>
      <c r="J17" s="120">
        <f t="shared" si="1"/>
        <v>6.75</v>
      </c>
      <c r="K17" s="120">
        <f t="shared" si="2"/>
        <v>5.4</v>
      </c>
      <c r="L17" s="161">
        <f>BOMCost!$E17*BOMCost!$G17</f>
        <v>12</v>
      </c>
      <c r="M17" s="174">
        <v>6.5</v>
      </c>
      <c r="N17" s="164">
        <f>BOMCost!$E17*1000*BOMCost!$I17</f>
        <v>9000</v>
      </c>
      <c r="O17" s="132">
        <f>BOMCost!$E17*10000*BOMCost!$J17</f>
        <v>67500</v>
      </c>
      <c r="P17" s="132">
        <f>BOMCost!$E17*20000*BOMCost!$K17</f>
        <v>108000</v>
      </c>
    </row>
    <row r="18" spans="1:49" ht="13.5" customHeight="1" x14ac:dyDescent="0.15">
      <c r="A18" s="110">
        <v>11</v>
      </c>
      <c r="B18" s="142" t="s">
        <v>155</v>
      </c>
      <c r="C18" s="97"/>
      <c r="D18" s="97"/>
      <c r="E18" s="97">
        <v>1</v>
      </c>
      <c r="F18" s="97"/>
      <c r="G18" s="98">
        <v>50</v>
      </c>
      <c r="H18" s="98">
        <v>45</v>
      </c>
      <c r="I18" s="120">
        <f t="shared" si="0"/>
        <v>37.5</v>
      </c>
      <c r="J18" s="121">
        <f t="shared" si="1"/>
        <v>28.125</v>
      </c>
      <c r="K18" s="121">
        <f t="shared" si="2"/>
        <v>22.5</v>
      </c>
      <c r="L18" s="163">
        <f>BOMCost!$E18*BOMCost!$G18</f>
        <v>50</v>
      </c>
      <c r="M18" s="175">
        <v>45</v>
      </c>
      <c r="N18" s="166">
        <f>BOMCost!$E18*1000*BOMCost!$I18</f>
        <v>37500</v>
      </c>
      <c r="O18" s="122">
        <f>BOMCost!$E18*10000*BOMCost!$J18</f>
        <v>281250</v>
      </c>
      <c r="P18" s="122">
        <f>BOMCost!$E18*20000*BOMCost!$K18</f>
        <v>450000</v>
      </c>
    </row>
    <row r="19" spans="1:49" ht="13.5" customHeight="1" x14ac:dyDescent="0.15">
      <c r="A19" s="110">
        <v>12</v>
      </c>
      <c r="B19" s="142" t="s">
        <v>145</v>
      </c>
      <c r="C19" s="97"/>
      <c r="D19" s="97"/>
      <c r="E19" s="97">
        <v>1</v>
      </c>
      <c r="F19" s="97"/>
      <c r="G19" s="98">
        <v>5</v>
      </c>
      <c r="H19" s="98">
        <v>4.5</v>
      </c>
      <c r="I19" s="131">
        <f t="shared" si="0"/>
        <v>3.75</v>
      </c>
      <c r="J19" s="130">
        <f t="shared" si="1"/>
        <v>2.8125</v>
      </c>
      <c r="K19" s="130">
        <f t="shared" si="2"/>
        <v>2.25</v>
      </c>
      <c r="L19" s="161">
        <f>BOMCost!$E19*BOMCost!$G19</f>
        <v>5</v>
      </c>
      <c r="M19" s="175">
        <v>4.5</v>
      </c>
      <c r="N19" s="164">
        <f>BOMCost!$E19*1000*BOMCost!$I19</f>
        <v>3750</v>
      </c>
      <c r="O19" s="132">
        <f>BOMCost!$E19*10000*BOMCost!$J19</f>
        <v>28125</v>
      </c>
      <c r="P19" s="132">
        <f>BOMCost!$E19*20000*BOMCost!$K19</f>
        <v>45000</v>
      </c>
    </row>
    <row r="20" spans="1:49" ht="13.5" customHeight="1" x14ac:dyDescent="0.15">
      <c r="A20" s="153"/>
      <c r="B20" s="144"/>
      <c r="C20" s="99"/>
      <c r="D20" s="99"/>
      <c r="E20" s="99"/>
      <c r="F20" s="99"/>
      <c r="G20" s="100"/>
      <c r="H20" s="100"/>
      <c r="I20" s="120"/>
      <c r="J20" s="120"/>
      <c r="K20" s="120"/>
      <c r="L20" s="161"/>
      <c r="M20" s="175"/>
      <c r="N20" s="164"/>
      <c r="O20" s="132"/>
      <c r="P20" s="132"/>
    </row>
    <row r="21" spans="1:49" ht="13.5" customHeight="1" x14ac:dyDescent="0.15">
      <c r="A21" s="152">
        <v>13</v>
      </c>
      <c r="B21" s="145" t="s">
        <v>176</v>
      </c>
      <c r="C21" s="146"/>
      <c r="D21" s="146"/>
      <c r="E21" s="146">
        <v>1</v>
      </c>
      <c r="F21" s="146"/>
      <c r="G21" s="147">
        <v>19</v>
      </c>
      <c r="H21" s="159">
        <v>15.87</v>
      </c>
      <c r="I21" s="120">
        <f t="shared" si="0"/>
        <v>14.25</v>
      </c>
      <c r="J21" s="120">
        <f t="shared" si="1"/>
        <v>10.6875</v>
      </c>
      <c r="K21" s="120">
        <f t="shared" si="2"/>
        <v>8.5500000000000007</v>
      </c>
      <c r="L21" s="161">
        <f>BOMCost!$E21*BOMCost!$G21</f>
        <v>19</v>
      </c>
      <c r="M21" s="176">
        <v>15.87</v>
      </c>
      <c r="N21" s="164">
        <f>BOMCost!$E21*1000*BOMCost!$I21</f>
        <v>14250</v>
      </c>
      <c r="O21" s="132">
        <f>BOMCost!$E21*10000*BOMCost!$J21</f>
        <v>106875</v>
      </c>
      <c r="P21" s="132">
        <f>BOMCost!$E21*20000*BOMCost!$K21</f>
        <v>171000</v>
      </c>
    </row>
    <row r="22" spans="1:49" s="101" customFormat="1" ht="13.5" customHeight="1" x14ac:dyDescent="0.15">
      <c r="A22" s="118"/>
      <c r="B22" s="118"/>
      <c r="C22" s="118"/>
      <c r="D22" s="118"/>
      <c r="E22" s="118"/>
      <c r="F22" s="116"/>
      <c r="G22" s="119"/>
      <c r="H22" s="119"/>
      <c r="I22" s="120"/>
      <c r="J22" s="120"/>
      <c r="K22" s="120"/>
      <c r="L22" s="161"/>
      <c r="M22" s="175"/>
      <c r="N22" s="164"/>
      <c r="O22" s="132"/>
      <c r="P22" s="132"/>
      <c r="Q22" s="134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</row>
    <row r="23" spans="1:49" s="101" customFormat="1" ht="26" x14ac:dyDescent="0.15">
      <c r="A23" s="149">
        <v>14</v>
      </c>
      <c r="B23" s="148" t="s">
        <v>146</v>
      </c>
      <c r="C23" s="149"/>
      <c r="D23" s="149"/>
      <c r="E23" s="149">
        <v>1</v>
      </c>
      <c r="F23" s="150"/>
      <c r="G23" s="151">
        <v>50</v>
      </c>
      <c r="H23" s="151">
        <v>45</v>
      </c>
      <c r="I23" s="120">
        <f t="shared" si="0"/>
        <v>37.5</v>
      </c>
      <c r="J23" s="120">
        <f t="shared" si="1"/>
        <v>28.125</v>
      </c>
      <c r="K23" s="120">
        <f t="shared" si="2"/>
        <v>22.5</v>
      </c>
      <c r="L23" s="161">
        <f>BOMCost!$E23*BOMCost!$G23</f>
        <v>50</v>
      </c>
      <c r="M23" s="177">
        <v>33</v>
      </c>
      <c r="N23" s="165">
        <f>BOMCost!$E23*1000*BOMCost!$I23</f>
        <v>37500</v>
      </c>
      <c r="O23" s="122">
        <f>BOMCost!$E23*10000*BOMCost!$J23</f>
        <v>281250</v>
      </c>
      <c r="P23" s="132">
        <f>BOMCost!$E23*20000*BOMCost!$K23</f>
        <v>450000</v>
      </c>
      <c r="Q23" s="135"/>
      <c r="R23" s="138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</row>
    <row r="24" spans="1:49" s="101" customFormat="1" ht="13.5" customHeight="1" x14ac:dyDescent="0.15">
      <c r="A24" s="117"/>
      <c r="B24" s="126"/>
      <c r="C24" s="126"/>
      <c r="D24" s="126"/>
      <c r="E24" s="117"/>
      <c r="F24" s="117"/>
      <c r="G24" s="117"/>
      <c r="H24" s="117"/>
      <c r="I24" s="123"/>
      <c r="J24" s="127"/>
      <c r="K24" s="127"/>
      <c r="L24" s="127"/>
      <c r="M24" s="160"/>
      <c r="N24" s="127"/>
      <c r="O24" s="127"/>
      <c r="P24" s="127"/>
      <c r="Q24" s="136"/>
      <c r="R24" s="139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</row>
    <row r="25" spans="1:49" ht="14.25" customHeight="1" x14ac:dyDescent="0.15">
      <c r="A25" s="117"/>
      <c r="B25" s="128" t="s">
        <v>53</v>
      </c>
      <c r="C25" s="129" t="s">
        <v>54</v>
      </c>
      <c r="D25" s="126"/>
      <c r="E25" s="117"/>
      <c r="F25" s="116"/>
      <c r="G25" s="127"/>
      <c r="H25" s="127"/>
      <c r="I25" s="127"/>
      <c r="J25" s="127"/>
      <c r="K25" s="127"/>
      <c r="L25" s="127"/>
      <c r="M25" s="181"/>
      <c r="N25" s="127"/>
      <c r="O25" s="117"/>
      <c r="P25" s="117"/>
      <c r="Q25" s="116"/>
      <c r="R25" s="102"/>
    </row>
    <row r="26" spans="1:49" ht="13.5" customHeight="1" x14ac:dyDescent="0.15">
      <c r="A26" s="20"/>
      <c r="B26" s="23"/>
      <c r="C26" s="23" t="s">
        <v>55</v>
      </c>
      <c r="D26" s="23"/>
      <c r="E26" s="20"/>
      <c r="F26" s="37"/>
      <c r="G26" s="38"/>
      <c r="H26" s="38"/>
      <c r="I26" s="38"/>
      <c r="J26" s="38"/>
      <c r="K26" s="38"/>
      <c r="L26" s="40">
        <f>SUBTOTAL(109,BOMCost!$L$9:$L$23)</f>
        <v>210</v>
      </c>
      <c r="M26" s="182">
        <f>SUM(M9:M23)*M29</f>
        <v>16732</v>
      </c>
      <c r="N26" s="40">
        <f>SUBTOTAL(109,BOMCost!$N$9:$N$23)</f>
        <v>157500</v>
      </c>
      <c r="O26" s="40">
        <f>SUBTOTAL(109,BOMCost!$O$9:$O$23)</f>
        <v>1181250</v>
      </c>
      <c r="P26" s="40">
        <f>SUBTOTAL(109,BOMCost!$P$9:$P$23)</f>
        <v>1890000</v>
      </c>
    </row>
    <row r="27" spans="1:49" ht="13.5" customHeight="1" x14ac:dyDescent="0.15">
      <c r="A27" s="20"/>
      <c r="B27" s="23"/>
      <c r="C27" s="23"/>
      <c r="D27" s="23"/>
      <c r="E27" s="20"/>
      <c r="F27" s="37"/>
      <c r="G27" s="38"/>
      <c r="H27" s="38"/>
      <c r="I27" s="38"/>
      <c r="J27" s="38"/>
      <c r="K27" s="38"/>
      <c r="L27" s="6">
        <f>L26</f>
        <v>210</v>
      </c>
      <c r="M27" s="182">
        <f>M26</f>
        <v>16732</v>
      </c>
      <c r="N27" s="6">
        <f>N26*(1+$K$28)</f>
        <v>157500</v>
      </c>
      <c r="O27" s="6">
        <f>O26*(1+$K$28)</f>
        <v>1181250</v>
      </c>
      <c r="P27" s="6">
        <f>P26*(1+$K$28)</f>
        <v>1890000</v>
      </c>
    </row>
    <row r="28" spans="1:49" ht="13.5" customHeight="1" x14ac:dyDescent="0.15">
      <c r="A28" s="20"/>
      <c r="B28" s="23"/>
      <c r="C28" s="23"/>
      <c r="D28" s="23"/>
      <c r="E28" s="20"/>
      <c r="F28" s="37"/>
      <c r="G28" s="38"/>
      <c r="H28" s="38"/>
      <c r="I28" s="38"/>
      <c r="J28" s="38" t="s">
        <v>56</v>
      </c>
      <c r="K28" s="41"/>
      <c r="L28" s="42">
        <f>L26/L29</f>
        <v>210</v>
      </c>
      <c r="M28" s="184">
        <f>M26/M29</f>
        <v>167.32</v>
      </c>
      <c r="N28" s="42">
        <f>N26/N29</f>
        <v>157.5</v>
      </c>
      <c r="O28" s="42">
        <f>O26/O29</f>
        <v>118.125</v>
      </c>
      <c r="P28" s="42">
        <f>P26/P29</f>
        <v>94.5</v>
      </c>
    </row>
    <row r="29" spans="1:49" ht="13.5" customHeight="1" x14ac:dyDescent="0.15">
      <c r="A29" s="20"/>
      <c r="B29" s="23"/>
      <c r="C29" s="23"/>
      <c r="D29" s="23"/>
      <c r="E29" s="20"/>
      <c r="F29" s="37"/>
      <c r="G29" s="38"/>
      <c r="H29" s="38"/>
      <c r="I29" s="38"/>
      <c r="J29" s="38"/>
      <c r="K29" s="38"/>
      <c r="L29" s="43">
        <v>1</v>
      </c>
      <c r="M29" s="178">
        <v>100</v>
      </c>
      <c r="N29" s="43">
        <v>1000</v>
      </c>
      <c r="O29" s="44">
        <v>10000</v>
      </c>
      <c r="P29" s="44">
        <v>20000</v>
      </c>
    </row>
    <row r="30" spans="1:49" ht="14.25" customHeight="1" x14ac:dyDescent="0.15">
      <c r="M30" s="179"/>
    </row>
    <row r="31" spans="1:49" ht="14.25" customHeight="1" x14ac:dyDescent="0.15">
      <c r="J31" t="s">
        <v>57</v>
      </c>
      <c r="L31" s="6">
        <f>SUM(L9:L13)</f>
        <v>49</v>
      </c>
      <c r="M31" s="180">
        <f>SUM(M9:M13)*M29</f>
        <v>3994.9999999999995</v>
      </c>
      <c r="N31" s="6">
        <f>SUM(N9:N13)</f>
        <v>36750</v>
      </c>
      <c r="O31" s="6">
        <f>SUM(O9:O13)</f>
        <v>275625</v>
      </c>
      <c r="P31" s="6">
        <f>SUM(P9:P13)</f>
        <v>441000</v>
      </c>
    </row>
    <row r="32" spans="1:49" ht="14.25" customHeight="1" x14ac:dyDescent="0.15">
      <c r="J32" s="45" t="s">
        <v>58</v>
      </c>
      <c r="L32" s="46">
        <f>L31/$L$29</f>
        <v>49</v>
      </c>
      <c r="M32" s="183">
        <f>M31/M29</f>
        <v>39.949999999999996</v>
      </c>
      <c r="N32" s="46">
        <f>N31/$N$29</f>
        <v>36.75</v>
      </c>
      <c r="O32" s="46">
        <f>O31/$O$29</f>
        <v>27.5625</v>
      </c>
      <c r="P32" s="46">
        <f>P31/$P$29</f>
        <v>22.05</v>
      </c>
    </row>
    <row r="33" spans="10:16" ht="14.25" customHeight="1" x14ac:dyDescent="0.15">
      <c r="M33" s="180"/>
    </row>
    <row r="34" spans="10:16" ht="14.25" customHeight="1" x14ac:dyDescent="0.15">
      <c r="J34" t="s">
        <v>59</v>
      </c>
      <c r="L34" s="6">
        <f>SUM(L15:L21)</f>
        <v>111</v>
      </c>
      <c r="M34" s="180">
        <f>SUM(M14:M21)*M29</f>
        <v>9437</v>
      </c>
      <c r="N34" s="6">
        <f>SUM(N15:N23)</f>
        <v>120750</v>
      </c>
      <c r="O34" s="6">
        <f>SUM(O15:O23)</f>
        <v>905625</v>
      </c>
      <c r="P34" s="6">
        <f>SUM(P15:P18)</f>
        <v>783000</v>
      </c>
    </row>
    <row r="35" spans="10:16" ht="14.25" customHeight="1" x14ac:dyDescent="0.15">
      <c r="J35" s="45" t="s">
        <v>60</v>
      </c>
      <c r="L35" s="46">
        <f>L34/$L$29</f>
        <v>111</v>
      </c>
      <c r="M35" s="183">
        <f>M34/M29</f>
        <v>94.37</v>
      </c>
      <c r="N35" s="46">
        <f>N34/$N$29</f>
        <v>120.75</v>
      </c>
      <c r="O35" s="46">
        <f>O34/$O$29</f>
        <v>90.5625</v>
      </c>
      <c r="P35" s="46">
        <f>P34/$P$29</f>
        <v>39.15</v>
      </c>
    </row>
    <row r="36" spans="10:16" ht="14.25" customHeight="1" x14ac:dyDescent="0.15">
      <c r="M36" s="180"/>
    </row>
    <row r="37" spans="10:16" ht="14.25" customHeight="1" x14ac:dyDescent="0.15">
      <c r="J37" t="s">
        <v>61</v>
      </c>
      <c r="L37" s="47">
        <f>0.5*L29/'Live-currencies'!A2</f>
        <v>2.5000000000000001E-2</v>
      </c>
      <c r="M37" s="47">
        <f>0.5*M29/'Live-currencies'!A2</f>
        <v>2.5</v>
      </c>
      <c r="N37" s="47">
        <f>0.5*I7*N29/'Live-currencies'!A2</f>
        <v>18.75</v>
      </c>
      <c r="O37" s="47">
        <f>0.5*I7*J7*O29/'Live-currencies'!A2</f>
        <v>140.625</v>
      </c>
      <c r="P37" s="47">
        <f>0.5*I7*J7*K7*P29/'Live-currencies'!A2</f>
        <v>225</v>
      </c>
    </row>
    <row r="38" spans="10:16" ht="14.25" customHeight="1" x14ac:dyDescent="0.15">
      <c r="J38" s="45" t="s">
        <v>62</v>
      </c>
      <c r="L38" s="46">
        <f>L37/$L$29</f>
        <v>2.5000000000000001E-2</v>
      </c>
      <c r="M38" s="46">
        <f>M37/$M$29</f>
        <v>2.5000000000000001E-2</v>
      </c>
      <c r="N38" s="46">
        <f>N37/$N$29</f>
        <v>1.8749999999999999E-2</v>
      </c>
      <c r="O38" s="46">
        <f>O37/$O$29</f>
        <v>1.40625E-2</v>
      </c>
      <c r="P38" s="46">
        <f>P37/$P$29</f>
        <v>1.125E-2</v>
      </c>
    </row>
    <row r="39" spans="10:16" ht="14.25" customHeight="1" x14ac:dyDescent="0.15"/>
    <row r="40" spans="10:16" ht="14.25" customHeight="1" x14ac:dyDescent="0.15"/>
    <row r="41" spans="10:16" ht="14.25" customHeight="1" x14ac:dyDescent="0.15"/>
    <row r="42" spans="10:16" ht="14.25" customHeight="1" x14ac:dyDescent="0.15"/>
    <row r="43" spans="10:16" ht="14.25" customHeight="1" x14ac:dyDescent="0.15"/>
    <row r="44" spans="10:16" ht="14.25" customHeight="1" x14ac:dyDescent="0.15"/>
    <row r="45" spans="10:16" ht="14.25" customHeight="1" x14ac:dyDescent="0.15"/>
    <row r="46" spans="10:16" ht="14.25" customHeight="1" x14ac:dyDescent="0.15"/>
    <row r="47" spans="10:16" ht="14.25" customHeight="1" x14ac:dyDescent="0.15"/>
    <row r="48" spans="10:16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</sheetData>
  <mergeCells count="1">
    <mergeCell ref="A1:B1"/>
  </mergeCells>
  <hyperlinks>
    <hyperlink ref="F15" r:id="rId1" xr:uid="{00000000-0004-0000-0100-000001000000}"/>
    <hyperlink ref="F16" r:id="rId2" xr:uid="{00000000-0004-0000-0100-000002000000}"/>
    <hyperlink ref="F9" r:id="rId3" xr:uid="{04A78B16-E640-4F95-B830-38EA90B2AAD0}"/>
  </hyperlinks>
  <pageMargins left="0.7" right="0.7" top="0.75" bottom="0.75" header="0" footer="0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"/>
  <sheetViews>
    <sheetView workbookViewId="0">
      <selection activeCell="F36" sqref="F36:F37"/>
    </sheetView>
  </sheetViews>
  <sheetFormatPr baseColWidth="10" defaultColWidth="14.33203125" defaultRowHeight="15" customHeight="1" x14ac:dyDescent="0.15"/>
  <cols>
    <col min="1" max="1" width="29.6640625" customWidth="1"/>
    <col min="2" max="2" width="29" customWidth="1"/>
    <col min="3" max="3" width="6.6640625" customWidth="1"/>
    <col min="4" max="4" width="8.6640625" customWidth="1"/>
    <col min="5" max="5" width="11" bestFit="1" customWidth="1"/>
    <col min="6" max="11" width="8.6640625" customWidth="1"/>
  </cols>
  <sheetData>
    <row r="1" spans="1:5" ht="14.25" customHeight="1" x14ac:dyDescent="0.2">
      <c r="A1" s="237" t="s">
        <v>63</v>
      </c>
      <c r="B1" s="238"/>
    </row>
    <row r="2" spans="1:5" ht="14.25" customHeight="1" x14ac:dyDescent="0.15"/>
    <row r="3" spans="1:5" ht="14.25" customHeight="1" x14ac:dyDescent="0.15">
      <c r="A3" s="13" t="s">
        <v>0</v>
      </c>
      <c r="B3" s="14" t="s">
        <v>1</v>
      </c>
      <c r="C3" s="13" t="s">
        <v>64</v>
      </c>
      <c r="D3" s="13"/>
      <c r="E3" s="13" t="s">
        <v>4</v>
      </c>
    </row>
    <row r="4" spans="1:5" ht="14.25" customHeight="1" x14ac:dyDescent="0.15">
      <c r="A4" t="s">
        <v>65</v>
      </c>
      <c r="B4" s="15">
        <v>4</v>
      </c>
      <c r="C4">
        <v>12</v>
      </c>
      <c r="E4" s="6">
        <f>B4*ResearchAndDevCost!$L$5*C4</f>
        <v>7680</v>
      </c>
    </row>
    <row r="5" spans="1:5" ht="14.25" customHeight="1" x14ac:dyDescent="0.15">
      <c r="B5" s="48"/>
      <c r="E5" s="6"/>
    </row>
    <row r="6" spans="1:5" ht="14.25" customHeight="1" x14ac:dyDescent="0.15"/>
    <row r="7" spans="1:5" ht="14.25" customHeight="1" x14ac:dyDescent="0.15">
      <c r="A7" s="8"/>
      <c r="B7" s="8"/>
      <c r="C7" s="8"/>
      <c r="D7" s="8"/>
      <c r="E7" s="8"/>
    </row>
    <row r="8" spans="1:5" ht="14.25" customHeight="1" x14ac:dyDescent="0.15">
      <c r="D8" s="5" t="s">
        <v>22</v>
      </c>
      <c r="E8" s="6">
        <f>SUM(E4:E7)</f>
        <v>7680</v>
      </c>
    </row>
    <row r="9" spans="1:5" ht="14.25" customHeight="1" x14ac:dyDescent="0.15"/>
    <row r="10" spans="1:5" ht="14.25" customHeight="1" x14ac:dyDescent="0.15"/>
    <row r="11" spans="1:5" ht="14.25" customHeight="1" x14ac:dyDescent="0.15"/>
    <row r="12" spans="1:5" ht="14.25" customHeight="1" x14ac:dyDescent="0.15"/>
    <row r="13" spans="1:5" ht="14.25" customHeight="1" x14ac:dyDescent="0.15"/>
    <row r="14" spans="1:5" ht="14.25" customHeight="1" x14ac:dyDescent="0.15"/>
    <row r="15" spans="1:5" ht="14.25" customHeight="1" x14ac:dyDescent="0.15"/>
    <row r="16" spans="1:5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</sheetData>
  <mergeCells count="1">
    <mergeCell ref="A1:B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8"/>
  <sheetViews>
    <sheetView topLeftCell="A19" workbookViewId="0">
      <selection activeCell="D36" sqref="D36"/>
    </sheetView>
  </sheetViews>
  <sheetFormatPr baseColWidth="10" defaultColWidth="14.33203125" defaultRowHeight="15" customHeight="1" x14ac:dyDescent="0.15"/>
  <cols>
    <col min="1" max="2" width="10.33203125" customWidth="1"/>
    <col min="3" max="5" width="33.33203125" customWidth="1"/>
    <col min="6" max="6" width="30" customWidth="1"/>
    <col min="7" max="7" width="29.83203125" customWidth="1"/>
    <col min="8" max="8" width="19" customWidth="1"/>
    <col min="9" max="9" width="17" customWidth="1"/>
    <col min="10" max="10" width="62.83203125" customWidth="1"/>
    <col min="11" max="11" width="8.6640625" customWidth="1"/>
  </cols>
  <sheetData>
    <row r="1" spans="1:10" ht="19" x14ac:dyDescent="0.2">
      <c r="A1" s="237" t="s">
        <v>66</v>
      </c>
      <c r="B1" s="238"/>
      <c r="C1" s="238"/>
      <c r="D1" s="238"/>
      <c r="E1" s="238"/>
      <c r="F1" s="238"/>
    </row>
    <row r="2" spans="1:10" ht="14.25" customHeight="1" x14ac:dyDescent="0.15"/>
    <row r="3" spans="1:10" ht="18" x14ac:dyDescent="0.15">
      <c r="B3" s="240" t="s">
        <v>0</v>
      </c>
      <c r="C3" s="241"/>
      <c r="D3" s="49" t="s">
        <v>67</v>
      </c>
      <c r="E3" s="49" t="s">
        <v>68</v>
      </c>
      <c r="F3" s="49" t="s">
        <v>69</v>
      </c>
      <c r="G3" s="49" t="s">
        <v>70</v>
      </c>
      <c r="H3" s="49" t="s">
        <v>3</v>
      </c>
      <c r="I3" s="49" t="s">
        <v>4</v>
      </c>
      <c r="J3" s="50" t="s">
        <v>71</v>
      </c>
    </row>
    <row r="4" spans="1:10" ht="49.5" customHeight="1" x14ac:dyDescent="0.15">
      <c r="A4" s="242" t="s">
        <v>72</v>
      </c>
      <c r="B4" s="244" t="s">
        <v>73</v>
      </c>
      <c r="C4" s="238"/>
      <c r="D4" s="154">
        <v>2.4</v>
      </c>
      <c r="E4" s="51">
        <v>2.4</v>
      </c>
      <c r="F4" s="51">
        <v>0.7</v>
      </c>
      <c r="G4" s="51">
        <v>0.45</v>
      </c>
      <c r="H4" s="3">
        <v>1000</v>
      </c>
      <c r="I4" s="4">
        <f t="shared" ref="I4:I8" si="0">F4*H4</f>
        <v>700</v>
      </c>
      <c r="J4" s="52"/>
    </row>
    <row r="5" spans="1:10" ht="49.5" customHeight="1" x14ac:dyDescent="0.15">
      <c r="A5" s="233"/>
      <c r="B5" s="244" t="s">
        <v>74</v>
      </c>
      <c r="C5" s="238"/>
      <c r="D5" s="51">
        <v>1.7</v>
      </c>
      <c r="E5" s="51">
        <v>1.7</v>
      </c>
      <c r="F5" s="51">
        <v>0.2</v>
      </c>
      <c r="G5" s="51">
        <v>0.2</v>
      </c>
      <c r="H5" s="3">
        <v>1000</v>
      </c>
      <c r="I5" s="4">
        <f t="shared" si="0"/>
        <v>200</v>
      </c>
      <c r="J5" s="52"/>
    </row>
    <row r="6" spans="1:10" ht="49.5" customHeight="1" x14ac:dyDescent="0.15">
      <c r="A6" s="233"/>
      <c r="B6" s="244" t="s">
        <v>75</v>
      </c>
      <c r="C6" s="238"/>
      <c r="D6" s="154">
        <v>1.3</v>
      </c>
      <c r="E6" s="51">
        <v>1.3</v>
      </c>
      <c r="F6" s="51">
        <v>0.2</v>
      </c>
      <c r="G6" s="51">
        <v>0.2</v>
      </c>
      <c r="H6" s="3">
        <v>1000</v>
      </c>
      <c r="I6" s="4">
        <f t="shared" si="0"/>
        <v>200</v>
      </c>
      <c r="J6" s="52"/>
    </row>
    <row r="7" spans="1:10" ht="49.5" customHeight="1" x14ac:dyDescent="0.15">
      <c r="A7" s="233"/>
      <c r="B7" s="244" t="s">
        <v>76</v>
      </c>
      <c r="C7" s="238"/>
      <c r="D7" s="51">
        <f>5+2+2</f>
        <v>9</v>
      </c>
      <c r="E7" s="51">
        <v>9</v>
      </c>
      <c r="F7" s="53">
        <v>1.1000000000000001</v>
      </c>
      <c r="G7" s="53">
        <v>0.8</v>
      </c>
      <c r="H7" s="3">
        <v>1000</v>
      </c>
      <c r="I7" s="6">
        <f t="shared" si="0"/>
        <v>1100</v>
      </c>
      <c r="J7" s="54"/>
    </row>
    <row r="8" spans="1:10" ht="49.5" customHeight="1" x14ac:dyDescent="0.15">
      <c r="A8" s="233"/>
      <c r="B8" s="244" t="s">
        <v>9</v>
      </c>
      <c r="C8" s="238"/>
      <c r="D8" s="55">
        <v>15</v>
      </c>
      <c r="E8" s="55">
        <v>10</v>
      </c>
      <c r="F8" s="55">
        <v>5</v>
      </c>
      <c r="G8" s="55">
        <v>2.5</v>
      </c>
      <c r="H8" s="3">
        <v>1000</v>
      </c>
      <c r="I8" s="6">
        <f t="shared" si="0"/>
        <v>5000</v>
      </c>
      <c r="J8" s="54"/>
    </row>
    <row r="9" spans="1:10" ht="14.25" customHeight="1" x14ac:dyDescent="0.15">
      <c r="A9" s="233"/>
      <c r="B9" s="244"/>
      <c r="C9" s="238"/>
      <c r="D9" s="48"/>
      <c r="E9" s="48"/>
      <c r="F9" s="56"/>
      <c r="G9" s="56"/>
      <c r="H9" s="3"/>
      <c r="I9" s="4"/>
      <c r="J9" s="57"/>
    </row>
    <row r="10" spans="1:10" ht="14.25" customHeight="1" x14ac:dyDescent="0.15">
      <c r="A10" s="243"/>
      <c r="B10" s="246"/>
      <c r="C10" s="247"/>
      <c r="D10" s="58"/>
      <c r="E10" s="58"/>
      <c r="F10" s="8"/>
      <c r="G10" s="8"/>
      <c r="H10" s="8"/>
      <c r="I10" s="8"/>
      <c r="J10" s="59"/>
    </row>
    <row r="11" spans="1:10" ht="14.25" customHeight="1" x14ac:dyDescent="0.15">
      <c r="C11" s="5" t="s">
        <v>77</v>
      </c>
      <c r="D11" s="6">
        <f>SUM(D4:D10)</f>
        <v>29.4</v>
      </c>
      <c r="E11" s="6">
        <f>SUM(E4:E10)</f>
        <v>24.4</v>
      </c>
      <c r="F11" s="6">
        <f>SUM(F4:F10)</f>
        <v>7.2</v>
      </c>
      <c r="G11" s="6">
        <f>SUM(G4:G10)</f>
        <v>4.1500000000000004</v>
      </c>
      <c r="I11" s="6">
        <f>SUM(I4:I10)</f>
        <v>7200</v>
      </c>
    </row>
    <row r="12" spans="1:10" ht="14.25" customHeight="1" x14ac:dyDescent="0.15">
      <c r="C12" s="5"/>
      <c r="D12" s="5"/>
      <c r="E12" s="5"/>
      <c r="F12" s="6"/>
      <c r="G12" s="6"/>
      <c r="I12" s="6"/>
    </row>
    <row r="13" spans="1:10" ht="14.25" customHeight="1" x14ac:dyDescent="0.15">
      <c r="C13" s="60"/>
      <c r="D13" s="5"/>
      <c r="E13" s="5"/>
      <c r="F13" s="61" t="s">
        <v>78</v>
      </c>
      <c r="G13" s="62"/>
      <c r="I13" s="6"/>
    </row>
    <row r="14" spans="1:10" ht="14.25" customHeight="1" x14ac:dyDescent="0.15">
      <c r="C14" s="63"/>
      <c r="D14" s="63"/>
      <c r="E14" s="63"/>
      <c r="F14" s="64">
        <v>10</v>
      </c>
      <c r="G14" s="48"/>
    </row>
    <row r="15" spans="1:10" ht="18" x14ac:dyDescent="0.15">
      <c r="B15" s="248" t="s">
        <v>0</v>
      </c>
      <c r="C15" s="241"/>
      <c r="D15" s="65" t="s">
        <v>79</v>
      </c>
      <c r="E15" s="65" t="s">
        <v>80</v>
      </c>
      <c r="F15" s="65" t="s">
        <v>81</v>
      </c>
      <c r="G15" s="65" t="s">
        <v>82</v>
      </c>
      <c r="H15" s="65" t="s">
        <v>3</v>
      </c>
      <c r="I15" s="65" t="s">
        <v>4</v>
      </c>
      <c r="J15" s="50" t="s">
        <v>71</v>
      </c>
    </row>
    <row r="16" spans="1:10" ht="49.5" customHeight="1" x14ac:dyDescent="0.15">
      <c r="A16" s="249" t="s">
        <v>83</v>
      </c>
      <c r="B16" s="244" t="s">
        <v>84</v>
      </c>
      <c r="C16" s="238"/>
      <c r="D16" s="6">
        <v>4</v>
      </c>
      <c r="E16" s="6">
        <v>0.9</v>
      </c>
      <c r="F16" s="6">
        <v>0.1</v>
      </c>
      <c r="G16" s="6">
        <v>0.05</v>
      </c>
      <c r="H16" s="48">
        <v>1000</v>
      </c>
      <c r="I16" s="6">
        <f>F16*H16</f>
        <v>100</v>
      </c>
      <c r="J16" s="52"/>
    </row>
    <row r="17" spans="1:10" ht="49.5" customHeight="1" x14ac:dyDescent="0.15">
      <c r="A17" s="233"/>
      <c r="B17" s="244" t="s">
        <v>85</v>
      </c>
      <c r="C17" s="238"/>
      <c r="D17" s="6">
        <v>10</v>
      </c>
      <c r="E17" s="6">
        <v>5</v>
      </c>
      <c r="F17" s="6">
        <f>1/F14</f>
        <v>0.1</v>
      </c>
      <c r="G17" s="66">
        <v>0.01</v>
      </c>
      <c r="H17" s="48">
        <v>1000</v>
      </c>
      <c r="I17" s="6">
        <f>F17*H17</f>
        <v>100</v>
      </c>
      <c r="J17" s="54"/>
    </row>
    <row r="18" spans="1:10" ht="49.5" customHeight="1" x14ac:dyDescent="0.15">
      <c r="A18" s="233"/>
      <c r="B18" s="244" t="s">
        <v>86</v>
      </c>
      <c r="C18" s="238"/>
      <c r="D18" s="6">
        <v>2</v>
      </c>
      <c r="E18" s="6">
        <v>2</v>
      </c>
      <c r="F18" s="6">
        <v>0.01</v>
      </c>
      <c r="G18" s="66">
        <v>1E-3</v>
      </c>
      <c r="H18" s="48">
        <v>1000</v>
      </c>
      <c r="I18" s="6">
        <f>F18*H18</f>
        <v>10</v>
      </c>
      <c r="J18" s="54"/>
    </row>
    <row r="19" spans="1:10" ht="49.5" customHeight="1" x14ac:dyDescent="0.15">
      <c r="A19" s="233"/>
      <c r="B19" s="244" t="s">
        <v>87</v>
      </c>
      <c r="C19" s="238"/>
      <c r="D19" s="6">
        <f>2300/ 'Live-currencies'!A2 /10</f>
        <v>11.5</v>
      </c>
      <c r="E19" s="6">
        <f>2300/'Live-currencies'!A2/100</f>
        <v>1.1499999999999999</v>
      </c>
      <c r="F19" s="6">
        <f>2300/'Live-currencies'!A2 /1000</f>
        <v>0.115</v>
      </c>
      <c r="G19" s="66">
        <f>2300/'Live-currencies'!A2 /10000</f>
        <v>1.15E-2</v>
      </c>
      <c r="H19" s="48">
        <v>1000</v>
      </c>
      <c r="I19" s="6">
        <f>F19*H19</f>
        <v>115</v>
      </c>
      <c r="J19" s="57" t="s">
        <v>88</v>
      </c>
    </row>
    <row r="20" spans="1:10" ht="14.25" customHeight="1" x14ac:dyDescent="0.15">
      <c r="A20" s="233"/>
      <c r="B20" s="244"/>
      <c r="C20" s="238"/>
      <c r="D20" s="48"/>
      <c r="E20" s="48"/>
      <c r="F20" s="6"/>
      <c r="G20" s="6"/>
      <c r="H20" s="48"/>
      <c r="I20" s="6"/>
      <c r="J20" s="59"/>
    </row>
    <row r="21" spans="1:10" ht="14.25" customHeight="1" x14ac:dyDescent="0.15">
      <c r="A21" s="243"/>
      <c r="B21" s="246"/>
      <c r="C21" s="247"/>
      <c r="D21" s="58"/>
      <c r="E21" s="58"/>
      <c r="F21" s="10"/>
      <c r="G21" s="10"/>
      <c r="H21" s="58"/>
      <c r="I21" s="10"/>
      <c r="J21" s="59"/>
    </row>
    <row r="22" spans="1:10" ht="14.25" customHeight="1" x14ac:dyDescent="0.15">
      <c r="A22" s="48"/>
      <c r="B22" s="48"/>
      <c r="C22" s="67" t="s">
        <v>77</v>
      </c>
      <c r="D22" s="6">
        <f>SUM(D16:D21)</f>
        <v>27.5</v>
      </c>
      <c r="E22" s="6">
        <f>SUM(E16:E21)</f>
        <v>9.0500000000000007</v>
      </c>
      <c r="F22" s="6">
        <f>SUM(F16:F21)</f>
        <v>0.32500000000000001</v>
      </c>
      <c r="G22" s="6">
        <f>SUM(G16:G21)</f>
        <v>7.2500000000000009E-2</v>
      </c>
      <c r="I22" s="6">
        <f>SUM(I16:I21)</f>
        <v>325</v>
      </c>
    </row>
    <row r="23" spans="1:10" ht="14.25" customHeight="1" x14ac:dyDescent="0.15">
      <c r="A23" s="48"/>
      <c r="B23" s="48"/>
      <c r="C23" s="48"/>
      <c r="D23" s="48"/>
      <c r="E23" s="48"/>
      <c r="F23" s="6"/>
      <c r="G23" s="6"/>
      <c r="H23" s="48"/>
      <c r="I23" s="6"/>
    </row>
    <row r="24" spans="1:10" ht="14.25" customHeight="1" x14ac:dyDescent="0.15">
      <c r="A24" s="48"/>
      <c r="B24" s="48"/>
      <c r="C24" s="58"/>
      <c r="D24" s="58"/>
      <c r="E24" s="58"/>
      <c r="F24" s="10"/>
      <c r="G24" s="6"/>
      <c r="H24" s="48"/>
      <c r="I24" s="6"/>
    </row>
    <row r="25" spans="1:10" ht="14.25" customHeight="1" x14ac:dyDescent="0.2">
      <c r="B25" s="63"/>
      <c r="C25" s="68" t="s">
        <v>89</v>
      </c>
      <c r="D25" s="69"/>
      <c r="E25" s="69"/>
      <c r="F25" s="70" t="s">
        <v>90</v>
      </c>
      <c r="G25" s="71"/>
    </row>
    <row r="26" spans="1:10" ht="14.25" customHeight="1" x14ac:dyDescent="0.15">
      <c r="B26" s="63"/>
      <c r="C26" s="72">
        <v>0.1</v>
      </c>
      <c r="D26" s="73"/>
      <c r="E26" s="73"/>
      <c r="F26" s="48">
        <v>500</v>
      </c>
      <c r="G26" s="74"/>
    </row>
    <row r="27" spans="1:10" ht="18" x14ac:dyDescent="0.15">
      <c r="B27" s="245" t="s">
        <v>0</v>
      </c>
      <c r="C27" s="241"/>
      <c r="D27" s="75" t="s">
        <v>91</v>
      </c>
      <c r="E27" s="75" t="s">
        <v>92</v>
      </c>
      <c r="F27" s="75" t="s">
        <v>93</v>
      </c>
      <c r="G27" s="75" t="s">
        <v>94</v>
      </c>
      <c r="H27" s="75" t="s">
        <v>3</v>
      </c>
      <c r="I27" s="75" t="s">
        <v>4</v>
      </c>
      <c r="J27" s="50" t="s">
        <v>71</v>
      </c>
    </row>
    <row r="28" spans="1:10" ht="49.5" customHeight="1" x14ac:dyDescent="0.15">
      <c r="A28" s="250"/>
      <c r="B28" s="244" t="s">
        <v>72</v>
      </c>
      <c r="C28" s="238"/>
      <c r="D28" s="4">
        <f>D11</f>
        <v>29.4</v>
      </c>
      <c r="E28" s="4">
        <f>E11</f>
        <v>24.4</v>
      </c>
      <c r="F28" s="4">
        <f>F11</f>
        <v>7.2</v>
      </c>
      <c r="G28" s="4">
        <f>G11</f>
        <v>4.1500000000000004</v>
      </c>
      <c r="H28" s="48">
        <v>1000</v>
      </c>
      <c r="I28" s="4">
        <f t="shared" ref="I28:I35" si="1">F28*H28</f>
        <v>7200</v>
      </c>
      <c r="J28" s="76"/>
    </row>
    <row r="29" spans="1:10" ht="49.5" customHeight="1" x14ac:dyDescent="0.15">
      <c r="A29" s="233"/>
      <c r="B29" s="244" t="s">
        <v>95</v>
      </c>
      <c r="C29" s="238"/>
      <c r="D29" s="4">
        <f>D22</f>
        <v>27.5</v>
      </c>
      <c r="E29" s="4">
        <f>E22</f>
        <v>9.0500000000000007</v>
      </c>
      <c r="F29" s="4">
        <f>F22</f>
        <v>0.32500000000000001</v>
      </c>
      <c r="G29" s="4">
        <f>G22</f>
        <v>7.2500000000000009E-2</v>
      </c>
      <c r="H29" s="48">
        <v>1000</v>
      </c>
      <c r="I29" s="4">
        <f t="shared" si="1"/>
        <v>325</v>
      </c>
      <c r="J29" s="77"/>
    </row>
    <row r="30" spans="1:10" ht="49.5" customHeight="1" x14ac:dyDescent="0.15">
      <c r="A30" s="233"/>
      <c r="B30" s="244" t="s">
        <v>96</v>
      </c>
      <c r="C30" s="238"/>
      <c r="D30" s="6">
        <f>($C$26*BOMCost!L28+D17)</f>
        <v>31</v>
      </c>
      <c r="E30" s="6">
        <f>($C$26*BOMCost!L28+E17)</f>
        <v>26</v>
      </c>
      <c r="F30" s="6">
        <f>($C$26*BOMCost!N28+$E$17)</f>
        <v>20.75</v>
      </c>
      <c r="G30" s="6">
        <f>($C$26*BOMCost!O28+$F$17)</f>
        <v>11.9125</v>
      </c>
      <c r="H30" s="48">
        <v>1000</v>
      </c>
      <c r="I30" s="6">
        <f t="shared" si="1"/>
        <v>20750</v>
      </c>
      <c r="J30" s="54"/>
    </row>
    <row r="31" spans="1:10" ht="49.5" customHeight="1" x14ac:dyDescent="0.15">
      <c r="A31" s="233"/>
      <c r="B31" s="244" t="s">
        <v>97</v>
      </c>
      <c r="C31" s="238"/>
      <c r="D31" s="6">
        <f>SupportCost!$E$8/1000</f>
        <v>7.68</v>
      </c>
      <c r="E31" s="6">
        <f>SupportCost!$E$8/1000</f>
        <v>7.68</v>
      </c>
      <c r="F31" s="6">
        <f>SupportCost!$E$8/1000</f>
        <v>7.68</v>
      </c>
      <c r="G31" s="6">
        <f>SupportCost!$E$8/10000</f>
        <v>0.76800000000000002</v>
      </c>
      <c r="H31" s="48">
        <v>1000</v>
      </c>
      <c r="I31" s="6">
        <f t="shared" si="1"/>
        <v>7680</v>
      </c>
      <c r="J31" s="57" t="s">
        <v>98</v>
      </c>
    </row>
    <row r="32" spans="1:10" ht="49.5" customHeight="1" x14ac:dyDescent="0.15">
      <c r="A32" s="233"/>
      <c r="B32" s="244" t="s">
        <v>99</v>
      </c>
      <c r="C32" s="238"/>
      <c r="D32" s="6"/>
      <c r="E32" s="6"/>
      <c r="F32" s="6"/>
      <c r="G32" s="6"/>
      <c r="H32" s="48">
        <v>1000</v>
      </c>
      <c r="I32" s="6">
        <f t="shared" si="1"/>
        <v>0</v>
      </c>
      <c r="J32" s="59" t="s">
        <v>100</v>
      </c>
    </row>
    <row r="33" spans="1:10" ht="49.5" customHeight="1" x14ac:dyDescent="0.15">
      <c r="A33" s="233"/>
      <c r="B33" s="244" t="s">
        <v>101</v>
      </c>
      <c r="C33" s="238"/>
      <c r="D33" s="6"/>
      <c r="E33" s="6"/>
      <c r="F33" s="6"/>
      <c r="G33" s="6"/>
      <c r="H33" s="48">
        <v>1000</v>
      </c>
      <c r="I33" s="6">
        <f t="shared" si="1"/>
        <v>0</v>
      </c>
      <c r="J33" s="59" t="s">
        <v>102</v>
      </c>
    </row>
    <row r="34" spans="1:10" ht="49.5" customHeight="1" x14ac:dyDescent="0.15">
      <c r="A34" s="233"/>
      <c r="B34" s="244" t="s">
        <v>103</v>
      </c>
      <c r="C34" s="238"/>
      <c r="D34" s="155">
        <f>BOMCost!L35</f>
        <v>111</v>
      </c>
      <c r="E34" s="78">
        <f>BOMCost!L35-8</f>
        <v>103</v>
      </c>
      <c r="F34" s="55">
        <f>BOMCost!N35</f>
        <v>120.75</v>
      </c>
      <c r="G34" s="55">
        <f>BOMCost!O35</f>
        <v>90.5625</v>
      </c>
      <c r="H34" s="48">
        <v>1000</v>
      </c>
      <c r="I34" s="6">
        <f t="shared" si="1"/>
        <v>120750</v>
      </c>
      <c r="J34" s="79"/>
    </row>
    <row r="35" spans="1:10" ht="49.5" customHeight="1" x14ac:dyDescent="0.15">
      <c r="A35" s="233"/>
      <c r="B35" s="244" t="s">
        <v>104</v>
      </c>
      <c r="C35" s="238"/>
      <c r="D35" s="155">
        <f>BOMCost!L32</f>
        <v>49</v>
      </c>
      <c r="E35" s="78">
        <f>BOMCost!L32</f>
        <v>49</v>
      </c>
      <c r="F35" s="78">
        <f>BOMCost!N32</f>
        <v>36.75</v>
      </c>
      <c r="G35" s="78">
        <f>BOMCost!O32</f>
        <v>27.5625</v>
      </c>
      <c r="H35" s="48">
        <v>1000</v>
      </c>
      <c r="I35" s="6">
        <f t="shared" si="1"/>
        <v>36750</v>
      </c>
      <c r="J35" s="54"/>
    </row>
    <row r="36" spans="1:10" ht="49.5" customHeight="1" x14ac:dyDescent="0.15">
      <c r="A36" s="241"/>
      <c r="B36" s="244" t="s">
        <v>120</v>
      </c>
      <c r="C36" s="244"/>
      <c r="D36" s="156">
        <f>BOMCost!G23</f>
        <v>50</v>
      </c>
      <c r="E36" s="4">
        <v>28</v>
      </c>
      <c r="F36" s="4">
        <v>25</v>
      </c>
      <c r="G36" s="4">
        <v>20</v>
      </c>
      <c r="H36" s="48"/>
      <c r="I36" s="6"/>
      <c r="J36" s="92"/>
    </row>
    <row r="37" spans="1:10" ht="14.25" customHeight="1" x14ac:dyDescent="0.15">
      <c r="A37" s="243"/>
      <c r="B37" s="246"/>
      <c r="C37" s="247"/>
      <c r="D37" s="58"/>
      <c r="E37" s="58"/>
      <c r="F37" s="8"/>
      <c r="G37" s="8"/>
      <c r="H37" s="8"/>
      <c r="I37" s="8"/>
      <c r="J37" s="57"/>
    </row>
    <row r="38" spans="1:10" ht="14.25" hidden="1" customHeight="1" x14ac:dyDescent="0.15">
      <c r="C38" s="5" t="s">
        <v>105</v>
      </c>
      <c r="D38" s="6">
        <f>D40-D35</f>
        <v>256.58000000000004</v>
      </c>
      <c r="E38" s="6">
        <f>E40-E35</f>
        <v>198.13</v>
      </c>
      <c r="F38" s="6">
        <f>F40-F35</f>
        <v>181.70499999999998</v>
      </c>
      <c r="G38" s="6">
        <f>G40-G35</f>
        <v>127.46549999999999</v>
      </c>
    </row>
    <row r="39" spans="1:10" ht="12" x14ac:dyDescent="0.15"/>
    <row r="40" spans="1:10" ht="14" x14ac:dyDescent="0.15">
      <c r="C40" s="5" t="s">
        <v>22</v>
      </c>
      <c r="D40" s="80">
        <f>SUM(D28:D37)</f>
        <v>305.58000000000004</v>
      </c>
      <c r="E40" s="80">
        <f>SUM(E28:E37)</f>
        <v>247.13</v>
      </c>
      <c r="F40" s="80">
        <f>SUM(F28:F37)</f>
        <v>218.45499999999998</v>
      </c>
      <c r="G40" s="80">
        <f>SUM(G28:G37)</f>
        <v>155.02799999999999</v>
      </c>
      <c r="H40" s="81"/>
      <c r="I40" s="80">
        <f>SUM(I28:I37)</f>
        <v>193455</v>
      </c>
    </row>
    <row r="41" spans="1:10" ht="14.25" customHeight="1" x14ac:dyDescent="0.15"/>
    <row r="42" spans="1:10" ht="14.25" customHeight="1" x14ac:dyDescent="0.15"/>
    <row r="43" spans="1:10" ht="14.25" customHeight="1" x14ac:dyDescent="0.15">
      <c r="C43" s="5"/>
      <c r="D43" s="5"/>
      <c r="E43" s="5"/>
      <c r="F43" s="6"/>
      <c r="G43" s="6"/>
      <c r="H43" s="6"/>
      <c r="I43" s="6"/>
    </row>
    <row r="44" spans="1:10" ht="14.25" customHeight="1" x14ac:dyDescent="0.15"/>
    <row r="45" spans="1:10" ht="14.25" customHeight="1" x14ac:dyDescent="0.15"/>
    <row r="46" spans="1:10" ht="14.25" customHeight="1" x14ac:dyDescent="0.15"/>
    <row r="47" spans="1:10" ht="14.25" customHeight="1" x14ac:dyDescent="0.15"/>
    <row r="48" spans="1:10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</sheetData>
  <mergeCells count="30">
    <mergeCell ref="A28:A37"/>
    <mergeCell ref="B37:C37"/>
    <mergeCell ref="B35:C35"/>
    <mergeCell ref="B30:C30"/>
    <mergeCell ref="B29:C29"/>
    <mergeCell ref="B32:C32"/>
    <mergeCell ref="A16:A21"/>
    <mergeCell ref="B16:C16"/>
    <mergeCell ref="B17:C17"/>
    <mergeCell ref="B18:C18"/>
    <mergeCell ref="B19:C19"/>
    <mergeCell ref="B20:C20"/>
    <mergeCell ref="B21:C21"/>
    <mergeCell ref="B27:C27"/>
    <mergeCell ref="B10:C10"/>
    <mergeCell ref="B15:C15"/>
    <mergeCell ref="B36:C36"/>
    <mergeCell ref="B31:C31"/>
    <mergeCell ref="B33:C33"/>
    <mergeCell ref="B34:C34"/>
    <mergeCell ref="B28:C28"/>
    <mergeCell ref="A1:F1"/>
    <mergeCell ref="B3:C3"/>
    <mergeCell ref="A4:A10"/>
    <mergeCell ref="B4:C4"/>
    <mergeCell ref="B7:C7"/>
    <mergeCell ref="B8:C8"/>
    <mergeCell ref="B9:C9"/>
    <mergeCell ref="B5:C5"/>
    <mergeCell ref="B6:C6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8"/>
  <sheetViews>
    <sheetView zoomScale="143" zoomScaleNormal="144" workbookViewId="0">
      <selection activeCell="B47" sqref="B47"/>
    </sheetView>
  </sheetViews>
  <sheetFormatPr baseColWidth="10" defaultColWidth="14.33203125" defaultRowHeight="15" customHeight="1" x14ac:dyDescent="0.15"/>
  <cols>
    <col min="1" max="1" width="49" bestFit="1" customWidth="1"/>
    <col min="2" max="2" width="21.83203125" customWidth="1"/>
    <col min="3" max="3" width="24.33203125" customWidth="1"/>
    <col min="4" max="4" width="25" customWidth="1"/>
    <col min="5" max="5" width="23.33203125" customWidth="1"/>
    <col min="6" max="6" width="32.1640625" customWidth="1"/>
    <col min="7" max="7" width="9" hidden="1" customWidth="1"/>
    <col min="8" max="8" width="35.6640625" bestFit="1" customWidth="1"/>
    <col min="9" max="11" width="8.6640625" customWidth="1"/>
  </cols>
  <sheetData>
    <row r="1" spans="1:8" ht="14.25" customHeight="1" x14ac:dyDescent="0.15">
      <c r="A1" s="81" t="s">
        <v>106</v>
      </c>
      <c r="B1" s="81"/>
    </row>
    <row r="2" spans="1:8" ht="14.25" customHeight="1" x14ac:dyDescent="0.2">
      <c r="B2" s="39">
        <v>10</v>
      </c>
      <c r="C2" s="39">
        <v>50</v>
      </c>
      <c r="D2" s="39">
        <v>100</v>
      </c>
      <c r="E2" s="39">
        <v>500</v>
      </c>
      <c r="F2" s="39">
        <v>1000</v>
      </c>
      <c r="G2" s="39">
        <v>5000</v>
      </c>
      <c r="H2" s="187" t="s">
        <v>153</v>
      </c>
    </row>
    <row r="3" spans="1:8" ht="16" x14ac:dyDescent="0.2">
      <c r="A3" t="s">
        <v>107</v>
      </c>
      <c r="B3" s="6">
        <f>COGS!D40</f>
        <v>305.58000000000004</v>
      </c>
      <c r="C3" s="6">
        <f>(B3+D3)/2</f>
        <v>276.35500000000002</v>
      </c>
      <c r="D3" s="6">
        <f>COGS!E40</f>
        <v>247.13</v>
      </c>
      <c r="E3" s="6">
        <f>(D3+F3)/2</f>
        <v>232.79249999999999</v>
      </c>
      <c r="F3" s="6">
        <f>COGS!F40</f>
        <v>218.45499999999998</v>
      </c>
      <c r="G3" s="6" t="e">
        <f>(#REF! + F3) /2</f>
        <v>#REF!</v>
      </c>
      <c r="H3" s="186"/>
    </row>
    <row r="4" spans="1:8" ht="16" hidden="1" x14ac:dyDescent="0.2">
      <c r="A4" t="s">
        <v>108</v>
      </c>
      <c r="B4" s="6">
        <v>2.27</v>
      </c>
      <c r="C4" s="6">
        <v>2.27</v>
      </c>
      <c r="D4" s="6">
        <v>2.27</v>
      </c>
      <c r="E4" s="6">
        <v>0.23</v>
      </c>
      <c r="F4" s="6">
        <v>0.23</v>
      </c>
      <c r="G4" s="6">
        <v>0.04</v>
      </c>
      <c r="H4" s="186"/>
    </row>
    <row r="5" spans="1:8" ht="16" hidden="1" x14ac:dyDescent="0.2">
      <c r="A5" t="s">
        <v>109</v>
      </c>
      <c r="B5" s="6">
        <v>2</v>
      </c>
      <c r="C5" s="6">
        <v>2</v>
      </c>
      <c r="D5" s="6">
        <v>2</v>
      </c>
      <c r="E5" s="6">
        <v>1</v>
      </c>
      <c r="F5" s="6">
        <v>0.5</v>
      </c>
      <c r="G5" s="6">
        <v>0.5</v>
      </c>
      <c r="H5" s="186"/>
    </row>
    <row r="6" spans="1:8" ht="14" hidden="1" customHeight="1" x14ac:dyDescent="0.2">
      <c r="A6" t="s">
        <v>110</v>
      </c>
      <c r="B6" s="6">
        <f t="shared" ref="B6:G6" si="0">SUM(B4:B5)</f>
        <v>4.2699999999999996</v>
      </c>
      <c r="C6" s="6">
        <f t="shared" si="0"/>
        <v>4.2699999999999996</v>
      </c>
      <c r="D6" s="6">
        <f t="shared" si="0"/>
        <v>4.2699999999999996</v>
      </c>
      <c r="E6" s="6">
        <f t="shared" si="0"/>
        <v>1.23</v>
      </c>
      <c r="F6" s="6">
        <f t="shared" si="0"/>
        <v>0.73</v>
      </c>
      <c r="G6" s="6">
        <f t="shared" si="0"/>
        <v>0.54</v>
      </c>
      <c r="H6" s="186"/>
    </row>
    <row r="7" spans="1:8" ht="14.25" customHeight="1" x14ac:dyDescent="0.2">
      <c r="A7" t="s">
        <v>111</v>
      </c>
      <c r="B7" s="6">
        <f t="shared" ref="B7:G7" si="1">B6*12</f>
        <v>51.239999999999995</v>
      </c>
      <c r="C7" s="6">
        <f t="shared" si="1"/>
        <v>51.239999999999995</v>
      </c>
      <c r="D7" s="6">
        <f t="shared" si="1"/>
        <v>51.239999999999995</v>
      </c>
      <c r="E7" s="6">
        <f t="shared" si="1"/>
        <v>14.76</v>
      </c>
      <c r="F7" s="6">
        <f t="shared" si="1"/>
        <v>8.76</v>
      </c>
      <c r="G7" s="6">
        <f t="shared" si="1"/>
        <v>6.48</v>
      </c>
      <c r="H7" s="186"/>
    </row>
    <row r="8" spans="1:8" ht="13" customHeight="1" x14ac:dyDescent="0.2">
      <c r="A8" t="s">
        <v>213</v>
      </c>
      <c r="B8" s="6"/>
      <c r="C8" s="6"/>
      <c r="D8" s="6"/>
      <c r="E8" s="6"/>
      <c r="F8" s="6"/>
      <c r="G8" s="6">
        <f>SUM('Sensor Costs'!$G$74,'Sensor Costs'!$G$75,'Sensor Costs'!$G$85)</f>
        <v>1217.4480000000001</v>
      </c>
      <c r="H8" s="186"/>
    </row>
    <row r="9" spans="1:8" ht="14.25" customHeight="1" x14ac:dyDescent="0.2">
      <c r="B9" s="6"/>
      <c r="C9" s="6"/>
      <c r="D9" s="6"/>
      <c r="E9" s="6"/>
      <c r="F9" s="6"/>
      <c r="G9" s="6"/>
      <c r="H9" s="186"/>
    </row>
    <row r="10" spans="1:8" ht="14.25" hidden="1" customHeight="1" x14ac:dyDescent="0.2">
      <c r="A10" t="s">
        <v>112</v>
      </c>
      <c r="B10" s="6">
        <f>B9*B14</f>
        <v>0</v>
      </c>
      <c r="C10" s="6">
        <f>C9*C14</f>
        <v>0</v>
      </c>
      <c r="D10" s="6">
        <f>D9*D14</f>
        <v>0</v>
      </c>
      <c r="E10" s="6">
        <f>E9*E14</f>
        <v>0</v>
      </c>
      <c r="F10" s="6">
        <f>F9*F14</f>
        <v>0</v>
      </c>
      <c r="H10" s="186"/>
    </row>
    <row r="11" spans="1:8" ht="14.25" hidden="1" customHeight="1" x14ac:dyDescent="0.2">
      <c r="A11" t="s">
        <v>113</v>
      </c>
      <c r="B11" s="6">
        <f t="shared" ref="B11:G11" si="2">(B9+B10)*($B$15)</f>
        <v>0</v>
      </c>
      <c r="C11" s="6">
        <f t="shared" si="2"/>
        <v>0</v>
      </c>
      <c r="D11" s="6">
        <f t="shared" si="2"/>
        <v>0</v>
      </c>
      <c r="E11" s="6">
        <f t="shared" si="2"/>
        <v>0</v>
      </c>
      <c r="F11" s="6">
        <f t="shared" si="2"/>
        <v>0</v>
      </c>
      <c r="G11" s="6">
        <f t="shared" si="2"/>
        <v>0</v>
      </c>
      <c r="H11" s="186"/>
    </row>
    <row r="12" spans="1:8" ht="14.25" customHeight="1" x14ac:dyDescent="0.2">
      <c r="A12" s="82" t="s">
        <v>114</v>
      </c>
      <c r="B12" s="83">
        <f>SUM(B3,B7,B8)</f>
        <v>356.82000000000005</v>
      </c>
      <c r="C12" s="83">
        <f>SUM(C3,C7,C8)</f>
        <v>327.59500000000003</v>
      </c>
      <c r="D12" s="83">
        <f>SUM(D3,D7,D8)</f>
        <v>298.37</v>
      </c>
      <c r="E12" s="83">
        <f t="shared" ref="E12:F12" si="3">SUM(E3,E7)</f>
        <v>247.55249999999998</v>
      </c>
      <c r="F12" s="83">
        <f t="shared" si="3"/>
        <v>227.21499999999997</v>
      </c>
      <c r="H12" s="186"/>
    </row>
    <row r="13" spans="1:8" ht="14.25" customHeight="1" x14ac:dyDescent="0.2">
      <c r="H13" s="186"/>
    </row>
    <row r="14" spans="1:8" ht="14.25" customHeight="1" x14ac:dyDescent="0.2">
      <c r="A14" s="84" t="s">
        <v>115</v>
      </c>
      <c r="B14" s="85">
        <v>0.05</v>
      </c>
      <c r="C14" s="86">
        <v>7.4999999999999997E-2</v>
      </c>
      <c r="D14" s="85">
        <v>0.1</v>
      </c>
      <c r="E14" s="85">
        <v>0.1</v>
      </c>
      <c r="F14" s="85">
        <v>0.15</v>
      </c>
      <c r="H14" s="186"/>
    </row>
    <row r="15" spans="1:8" ht="14.25" customHeight="1" x14ac:dyDescent="0.15">
      <c r="A15" s="84" t="s">
        <v>116</v>
      </c>
      <c r="B15" s="87">
        <v>0.1</v>
      </c>
    </row>
    <row r="16" spans="1:8" ht="14.25" customHeight="1" x14ac:dyDescent="0.15"/>
    <row r="17" spans="1:6" ht="14.25" customHeight="1" x14ac:dyDescent="0.15">
      <c r="A17" s="84" t="s">
        <v>117</v>
      </c>
      <c r="B17" s="6">
        <f>B12*B2</f>
        <v>3568.2000000000007</v>
      </c>
      <c r="C17" s="6">
        <f>C12*C2</f>
        <v>16379.750000000002</v>
      </c>
      <c r="D17" s="6">
        <f>D12*D2</f>
        <v>29837</v>
      </c>
      <c r="E17" s="6">
        <f>E12*E2</f>
        <v>123776.24999999999</v>
      </c>
      <c r="F17" s="6">
        <f>F12*F2</f>
        <v>227214.99999999997</v>
      </c>
    </row>
    <row r="18" spans="1:6" ht="14.25" customHeight="1" x14ac:dyDescent="0.15"/>
    <row r="19" spans="1:6" ht="14.25" customHeight="1" x14ac:dyDescent="0.15"/>
    <row r="20" spans="1:6" ht="14.25" customHeight="1" x14ac:dyDescent="0.15">
      <c r="A20" s="88" t="s">
        <v>118</v>
      </c>
      <c r="B20" s="6">
        <f>B9*B2</f>
        <v>0</v>
      </c>
      <c r="C20" s="6">
        <f>C9*C2</f>
        <v>0</v>
      </c>
      <c r="D20" s="6">
        <f>D9*D2</f>
        <v>0</v>
      </c>
      <c r="E20" s="6">
        <f>E9*E2</f>
        <v>0</v>
      </c>
      <c r="F20" s="6">
        <f>F9*F2</f>
        <v>0</v>
      </c>
    </row>
    <row r="21" spans="1:6" ht="14.25" customHeight="1" x14ac:dyDescent="0.15"/>
    <row r="22" spans="1:6" ht="14.25" customHeight="1" x14ac:dyDescent="0.15"/>
    <row r="23" spans="1:6" ht="14.25" customHeight="1" x14ac:dyDescent="0.15"/>
    <row r="24" spans="1:6" ht="14.25" customHeight="1" x14ac:dyDescent="0.15"/>
    <row r="25" spans="1:6" ht="14.25" customHeight="1" x14ac:dyDescent="0.15"/>
    <row r="26" spans="1:6" ht="14.25" customHeight="1" x14ac:dyDescent="0.15"/>
    <row r="27" spans="1:6" ht="14.25" hidden="1" customHeight="1" x14ac:dyDescent="0.15">
      <c r="B27" s="6">
        <f>100*1+BOMCost!$L$32</f>
        <v>149</v>
      </c>
      <c r="C27" s="6">
        <f>80*1+BOMCost!$L$32</f>
        <v>129</v>
      </c>
      <c r="D27" s="6">
        <f>70*1+BOMCost!$L$32</f>
        <v>119</v>
      </c>
      <c r="E27" s="6">
        <f>60*1+BOMCost!$L$32</f>
        <v>109</v>
      </c>
      <c r="F27" s="6">
        <f>50*1+BOMCost!$N$32</f>
        <v>86.75</v>
      </c>
    </row>
    <row r="28" spans="1:6" ht="14.25" hidden="1" customHeight="1" x14ac:dyDescent="0.15"/>
    <row r="29" spans="1:6" ht="14.25" hidden="1" customHeight="1" x14ac:dyDescent="0.15">
      <c r="B29" s="6">
        <f>100*4+BOMCost!$L$32</f>
        <v>449</v>
      </c>
      <c r="C29" s="6">
        <f>80*4+BOMCost!$L$32</f>
        <v>369</v>
      </c>
      <c r="D29" s="6">
        <f>70*4+BOMCost!$L$32</f>
        <v>329</v>
      </c>
      <c r="E29" s="6">
        <f>60*4+BOMCost!$L$32</f>
        <v>289</v>
      </c>
      <c r="F29" s="6">
        <f>50*4+BOMCost!$N$32</f>
        <v>236.75</v>
      </c>
    </row>
    <row r="30" spans="1:6" ht="14.25" hidden="1" customHeight="1" x14ac:dyDescent="0.15"/>
    <row r="31" spans="1:6" ht="14.25" customHeight="1" x14ac:dyDescent="0.15"/>
    <row r="32" spans="1:6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</sheetData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1FA8-8D46-4948-8409-142901AA7663}">
  <dimension ref="B1:J150"/>
  <sheetViews>
    <sheetView topLeftCell="A108" zoomScale="167" workbookViewId="0">
      <selection activeCell="B128" sqref="B128"/>
    </sheetView>
  </sheetViews>
  <sheetFormatPr baseColWidth="10" defaultColWidth="11" defaultRowHeight="12" x14ac:dyDescent="0.15"/>
  <cols>
    <col min="2" max="2" width="64.1640625" bestFit="1" customWidth="1"/>
    <col min="7" max="7" width="15.5" bestFit="1" customWidth="1"/>
    <col min="8" max="8" width="13.1640625" bestFit="1" customWidth="1"/>
  </cols>
  <sheetData>
    <row r="1" spans="2:10" x14ac:dyDescent="0.15">
      <c r="B1" t="s">
        <v>212</v>
      </c>
      <c r="C1">
        <v>1.28</v>
      </c>
    </row>
    <row r="2" spans="2:10" x14ac:dyDescent="0.15">
      <c r="B2" t="s">
        <v>133</v>
      </c>
      <c r="C2">
        <v>1.1100000000000001</v>
      </c>
    </row>
    <row r="3" spans="2:10" x14ac:dyDescent="0.15">
      <c r="B3" t="s">
        <v>134</v>
      </c>
      <c r="C3" s="85">
        <v>0.2</v>
      </c>
      <c r="H3" t="s">
        <v>194</v>
      </c>
    </row>
    <row r="4" spans="2:10" x14ac:dyDescent="0.15">
      <c r="C4" s="85"/>
    </row>
    <row r="5" spans="2:10" x14ac:dyDescent="0.15">
      <c r="C5" s="85"/>
    </row>
    <row r="6" spans="2:10" x14ac:dyDescent="0.15">
      <c r="B6" s="199" t="s">
        <v>135</v>
      </c>
      <c r="C6" s="200" t="s">
        <v>208</v>
      </c>
      <c r="D6" s="200"/>
      <c r="E6" s="200"/>
      <c r="F6" s="200"/>
      <c r="G6" s="200" t="s">
        <v>180</v>
      </c>
      <c r="H6" s="85">
        <v>0.4</v>
      </c>
    </row>
    <row r="7" spans="2:10" x14ac:dyDescent="0.15">
      <c r="B7" t="s">
        <v>137</v>
      </c>
      <c r="C7" s="95">
        <v>45078</v>
      </c>
      <c r="D7" s="203"/>
    </row>
    <row r="8" spans="2:10" x14ac:dyDescent="0.15">
      <c r="B8" t="s">
        <v>209</v>
      </c>
      <c r="C8" s="85"/>
      <c r="D8" s="209">
        <f>144</f>
        <v>144</v>
      </c>
      <c r="E8" s="94">
        <f>D8*$C$1</f>
        <v>184.32</v>
      </c>
      <c r="F8" s="206">
        <f t="shared" ref="F8:F10" si="0">E8*(1+$C$3)</f>
        <v>221.184</v>
      </c>
      <c r="G8" s="206">
        <f>F8*(1+$H$12)</f>
        <v>552.96</v>
      </c>
    </row>
    <row r="9" spans="2:10" x14ac:dyDescent="0.15">
      <c r="B9" t="s">
        <v>210</v>
      </c>
      <c r="C9" s="85"/>
      <c r="D9" s="209">
        <v>144</v>
      </c>
      <c r="E9" s="94">
        <f t="shared" ref="E9:E10" si="1">D9*$C$1</f>
        <v>184.32</v>
      </c>
      <c r="F9" s="206">
        <f t="shared" si="0"/>
        <v>221.184</v>
      </c>
      <c r="G9" s="206">
        <f t="shared" ref="G9:G10" si="2">F9*(1+$H$12)</f>
        <v>552.96</v>
      </c>
    </row>
    <row r="10" spans="2:10" x14ac:dyDescent="0.15">
      <c r="B10" t="s">
        <v>211</v>
      </c>
      <c r="C10" s="85"/>
      <c r="D10" s="209">
        <v>144</v>
      </c>
      <c r="E10" s="94">
        <f t="shared" si="1"/>
        <v>184.32</v>
      </c>
      <c r="F10" s="206">
        <f t="shared" si="0"/>
        <v>221.184</v>
      </c>
      <c r="G10" s="206">
        <f t="shared" si="2"/>
        <v>552.96</v>
      </c>
    </row>
    <row r="11" spans="2:10" x14ac:dyDescent="0.15">
      <c r="C11" s="85"/>
    </row>
    <row r="12" spans="2:10" x14ac:dyDescent="0.15">
      <c r="B12" s="199" t="s">
        <v>135</v>
      </c>
      <c r="C12" s="200" t="s">
        <v>136</v>
      </c>
      <c r="D12" s="200"/>
      <c r="E12" s="200"/>
      <c r="F12" s="200"/>
      <c r="G12" s="200" t="s">
        <v>180</v>
      </c>
      <c r="H12" s="85">
        <v>1.5</v>
      </c>
    </row>
    <row r="13" spans="2:10" x14ac:dyDescent="0.15">
      <c r="B13" s="5" t="s">
        <v>137</v>
      </c>
      <c r="C13" s="95">
        <v>45323</v>
      </c>
      <c r="D13" s="203"/>
      <c r="E13" s="201"/>
      <c r="F13" s="201"/>
      <c r="G13" s="201"/>
      <c r="H13" s="85"/>
    </row>
    <row r="14" spans="2:10" x14ac:dyDescent="0.15">
      <c r="B14" t="s">
        <v>124</v>
      </c>
      <c r="C14" s="201"/>
      <c r="D14" s="93">
        <v>78.069999999999993</v>
      </c>
      <c r="E14" s="94">
        <f t="shared" ref="E14:E22" si="3">D14*$C$2</f>
        <v>86.657700000000006</v>
      </c>
      <c r="F14" s="94">
        <f t="shared" ref="F14:F22" si="4">E14*(1+$C$3)</f>
        <v>103.98924000000001</v>
      </c>
      <c r="G14" s="94">
        <f t="shared" ref="G14:G21" si="5">F14*(1+$H$12)</f>
        <v>259.97310000000004</v>
      </c>
      <c r="H14" s="85"/>
      <c r="I14">
        <v>8</v>
      </c>
      <c r="J14" s="94">
        <f t="shared" ref="J14:J19" si="6">E14*I14</f>
        <v>693.26160000000004</v>
      </c>
    </row>
    <row r="15" spans="2:10" x14ac:dyDescent="0.15">
      <c r="B15" t="s">
        <v>128</v>
      </c>
      <c r="C15" s="201"/>
      <c r="D15" s="93">
        <v>82.21</v>
      </c>
      <c r="E15" s="94">
        <f t="shared" si="3"/>
        <v>91.253100000000003</v>
      </c>
      <c r="F15" s="94">
        <f t="shared" si="4"/>
        <v>109.50372</v>
      </c>
      <c r="G15" s="94">
        <f t="shared" si="5"/>
        <v>273.7593</v>
      </c>
      <c r="H15" s="85"/>
      <c r="I15">
        <v>8</v>
      </c>
      <c r="J15" s="94">
        <f t="shared" si="6"/>
        <v>730.02480000000003</v>
      </c>
    </row>
    <row r="16" spans="2:10" x14ac:dyDescent="0.15">
      <c r="B16" t="s">
        <v>225</v>
      </c>
      <c r="C16" s="201"/>
      <c r="D16" s="93">
        <v>85.7</v>
      </c>
      <c r="E16" s="94">
        <f t="shared" si="3"/>
        <v>95.12700000000001</v>
      </c>
      <c r="F16" s="94">
        <f t="shared" si="4"/>
        <v>114.15240000000001</v>
      </c>
      <c r="G16" s="94">
        <f t="shared" si="5"/>
        <v>285.38100000000003</v>
      </c>
      <c r="H16" s="85"/>
      <c r="I16">
        <v>16</v>
      </c>
      <c r="J16" s="94">
        <f t="shared" si="6"/>
        <v>1522.0320000000002</v>
      </c>
    </row>
    <row r="17" spans="2:10" x14ac:dyDescent="0.15">
      <c r="B17" t="s">
        <v>122</v>
      </c>
      <c r="C17" s="201"/>
      <c r="D17" s="93">
        <v>56.96</v>
      </c>
      <c r="E17" s="94">
        <f t="shared" si="3"/>
        <v>63.225600000000007</v>
      </c>
      <c r="F17" s="94">
        <f t="shared" si="4"/>
        <v>75.870720000000006</v>
      </c>
      <c r="G17" s="94">
        <f t="shared" si="5"/>
        <v>189.67680000000001</v>
      </c>
      <c r="H17" s="85"/>
      <c r="I17">
        <v>8</v>
      </c>
      <c r="J17" s="94">
        <f t="shared" si="6"/>
        <v>505.80480000000006</v>
      </c>
    </row>
    <row r="18" spans="2:10" x14ac:dyDescent="0.15">
      <c r="B18" t="s">
        <v>126</v>
      </c>
      <c r="C18" s="201"/>
      <c r="D18" s="93">
        <v>51.97</v>
      </c>
      <c r="E18" s="94">
        <f t="shared" si="3"/>
        <v>57.686700000000002</v>
      </c>
      <c r="F18" s="94">
        <f t="shared" si="4"/>
        <v>69.224040000000002</v>
      </c>
      <c r="G18" s="94">
        <f t="shared" si="5"/>
        <v>173.06010000000001</v>
      </c>
      <c r="H18" s="85"/>
      <c r="I18">
        <v>8</v>
      </c>
      <c r="J18" s="94">
        <f t="shared" si="6"/>
        <v>461.49360000000001</v>
      </c>
    </row>
    <row r="19" spans="2:10" x14ac:dyDescent="0.15">
      <c r="B19" t="s">
        <v>223</v>
      </c>
      <c r="C19" s="201"/>
      <c r="D19" s="93">
        <v>81.58</v>
      </c>
      <c r="E19" s="94">
        <f t="shared" si="3"/>
        <v>90.55380000000001</v>
      </c>
      <c r="F19" s="94">
        <f t="shared" si="4"/>
        <v>108.66456000000001</v>
      </c>
      <c r="G19" s="94">
        <f t="shared" si="5"/>
        <v>271.66140000000001</v>
      </c>
      <c r="H19" s="85"/>
      <c r="I19">
        <v>16</v>
      </c>
      <c r="J19" s="94">
        <f t="shared" si="6"/>
        <v>1448.8608000000002</v>
      </c>
    </row>
    <row r="20" spans="2:10" x14ac:dyDescent="0.15">
      <c r="B20" s="217" t="s">
        <v>226</v>
      </c>
      <c r="C20" s="201"/>
      <c r="D20" s="93">
        <v>399.23</v>
      </c>
      <c r="E20" s="94">
        <f t="shared" si="3"/>
        <v>443.14530000000008</v>
      </c>
      <c r="F20" s="94">
        <f t="shared" si="4"/>
        <v>531.77436000000012</v>
      </c>
      <c r="G20" s="94">
        <f t="shared" si="5"/>
        <v>1329.4359000000004</v>
      </c>
      <c r="H20" s="85"/>
    </row>
    <row r="21" spans="2:10" x14ac:dyDescent="0.15">
      <c r="B21" s="205" t="s">
        <v>217</v>
      </c>
      <c r="C21" s="201"/>
      <c r="D21" s="93">
        <v>35.840000000000003</v>
      </c>
      <c r="E21" s="94">
        <f t="shared" si="3"/>
        <v>39.78240000000001</v>
      </c>
      <c r="F21" s="94">
        <f t="shared" si="4"/>
        <v>47.738880000000009</v>
      </c>
      <c r="G21" s="94">
        <f t="shared" si="5"/>
        <v>119.34720000000002</v>
      </c>
      <c r="H21" s="85"/>
    </row>
    <row r="22" spans="2:10" x14ac:dyDescent="0.15">
      <c r="B22" t="s">
        <v>201</v>
      </c>
      <c r="C22" s="201"/>
      <c r="D22" s="93">
        <v>6.7</v>
      </c>
      <c r="E22" s="94">
        <f t="shared" si="3"/>
        <v>7.4370000000000012</v>
      </c>
      <c r="F22" s="94">
        <f t="shared" si="4"/>
        <v>8.9244000000000003</v>
      </c>
      <c r="G22" s="94">
        <f t="shared" ref="G22" si="7">F22*(1+$H$12)</f>
        <v>22.311</v>
      </c>
      <c r="H22" s="85"/>
      <c r="I22">
        <v>32</v>
      </c>
      <c r="J22" s="94">
        <f>E22*I22</f>
        <v>237.98400000000004</v>
      </c>
    </row>
    <row r="23" spans="2:10" x14ac:dyDescent="0.15">
      <c r="C23" s="201"/>
      <c r="D23" s="93"/>
      <c r="E23" s="94"/>
      <c r="F23" s="94"/>
      <c r="G23" s="94"/>
      <c r="H23" s="85"/>
      <c r="J23" s="94">
        <f>SUM(J14:J22)</f>
        <v>5599.4616000000005</v>
      </c>
    </row>
    <row r="24" spans="2:10" x14ac:dyDescent="0.15">
      <c r="B24" s="5" t="s">
        <v>137</v>
      </c>
      <c r="C24" s="95">
        <v>45292</v>
      </c>
      <c r="D24" s="203"/>
      <c r="E24" s="201"/>
      <c r="F24" s="201"/>
      <c r="G24" s="201"/>
      <c r="H24" s="85"/>
    </row>
    <row r="25" spans="2:10" x14ac:dyDescent="0.15">
      <c r="B25" t="s">
        <v>124</v>
      </c>
      <c r="C25" s="201"/>
      <c r="D25" s="93">
        <v>75.599999999999994</v>
      </c>
      <c r="E25" s="94">
        <f t="shared" ref="E25:E33" si="8">D25*$C$2</f>
        <v>83.915999999999997</v>
      </c>
      <c r="F25" s="94">
        <f t="shared" ref="F25:F33" si="9">E25*(1+$C$3)</f>
        <v>100.69919999999999</v>
      </c>
      <c r="G25" s="94">
        <f t="shared" ref="G25:G26" si="10">F25*(1+$H$12)</f>
        <v>251.74799999999999</v>
      </c>
      <c r="H25" s="85"/>
    </row>
    <row r="26" spans="2:10" x14ac:dyDescent="0.15">
      <c r="B26" t="s">
        <v>128</v>
      </c>
      <c r="C26" s="201"/>
      <c r="D26" s="93">
        <v>82.9</v>
      </c>
      <c r="E26" s="94">
        <f t="shared" si="8"/>
        <v>92.01900000000002</v>
      </c>
      <c r="F26" s="94">
        <f t="shared" si="9"/>
        <v>110.42280000000002</v>
      </c>
      <c r="G26" s="94">
        <f t="shared" si="10"/>
        <v>276.05700000000007</v>
      </c>
    </row>
    <row r="27" spans="2:10" x14ac:dyDescent="0.15">
      <c r="B27" t="s">
        <v>225</v>
      </c>
      <c r="C27" s="201"/>
      <c r="D27" s="93">
        <v>83.2</v>
      </c>
      <c r="E27" s="94">
        <f t="shared" si="8"/>
        <v>92.352000000000018</v>
      </c>
      <c r="F27" s="94">
        <f t="shared" si="9"/>
        <v>110.82240000000002</v>
      </c>
      <c r="G27" s="94">
        <f t="shared" ref="G27" si="11">F27*(1+$H$12)</f>
        <v>277.05600000000004</v>
      </c>
    </row>
    <row r="28" spans="2:10" x14ac:dyDescent="0.15">
      <c r="B28" t="s">
        <v>122</v>
      </c>
      <c r="C28" s="201"/>
      <c r="D28" s="93">
        <v>55.3</v>
      </c>
      <c r="E28" s="94">
        <f t="shared" si="8"/>
        <v>61.383000000000003</v>
      </c>
      <c r="F28" s="94">
        <f t="shared" si="9"/>
        <v>73.659599999999998</v>
      </c>
      <c r="G28" s="94">
        <f t="shared" ref="G28" si="12">F28*(1+$H$12)</f>
        <v>184.149</v>
      </c>
    </row>
    <row r="29" spans="2:10" x14ac:dyDescent="0.15">
      <c r="B29" t="s">
        <v>126</v>
      </c>
      <c r="C29" s="201"/>
      <c r="D29" s="93">
        <v>66.900000000000006</v>
      </c>
      <c r="E29" s="94">
        <f t="shared" si="8"/>
        <v>74.259000000000015</v>
      </c>
      <c r="F29" s="94">
        <f t="shared" si="9"/>
        <v>89.110800000000012</v>
      </c>
      <c r="G29" s="94">
        <f t="shared" ref="G29" si="13">F29*(1+$H$12)</f>
        <v>222.77700000000004</v>
      </c>
    </row>
    <row r="30" spans="2:10" x14ac:dyDescent="0.15">
      <c r="B30" t="s">
        <v>223</v>
      </c>
      <c r="C30" s="201"/>
      <c r="D30" s="93">
        <v>79.2</v>
      </c>
      <c r="E30" s="94">
        <f t="shared" si="8"/>
        <v>87.912000000000006</v>
      </c>
      <c r="F30" s="94">
        <f t="shared" si="9"/>
        <v>105.4944</v>
      </c>
      <c r="G30" s="94">
        <f t="shared" ref="G30" si="14">F30*(1+$H$12)</f>
        <v>263.73599999999999</v>
      </c>
    </row>
    <row r="31" spans="2:10" x14ac:dyDescent="0.15">
      <c r="B31" s="217" t="s">
        <v>181</v>
      </c>
      <c r="C31" s="201"/>
      <c r="D31" s="93">
        <v>78.5</v>
      </c>
      <c r="E31" s="94">
        <f t="shared" si="8"/>
        <v>87.135000000000005</v>
      </c>
      <c r="F31" s="94">
        <f t="shared" si="9"/>
        <v>104.562</v>
      </c>
      <c r="G31" s="94">
        <f t="shared" ref="G31" si="15">F31*(1+$H$12)</f>
        <v>261.40499999999997</v>
      </c>
    </row>
    <row r="32" spans="2:10" x14ac:dyDescent="0.15">
      <c r="B32" s="217" t="s">
        <v>224</v>
      </c>
      <c r="C32" s="201"/>
      <c r="D32" s="93">
        <v>79.2</v>
      </c>
      <c r="E32" s="94">
        <f t="shared" si="8"/>
        <v>87.912000000000006</v>
      </c>
      <c r="F32" s="94">
        <f t="shared" si="9"/>
        <v>105.4944</v>
      </c>
      <c r="G32" s="94">
        <f>F32*(1+$H$12)</f>
        <v>263.73599999999999</v>
      </c>
    </row>
    <row r="33" spans="2:8" x14ac:dyDescent="0.15">
      <c r="B33" t="s">
        <v>201</v>
      </c>
      <c r="C33" s="201"/>
      <c r="D33" s="93">
        <v>6.3</v>
      </c>
      <c r="E33" s="94">
        <f t="shared" si="8"/>
        <v>6.9930000000000003</v>
      </c>
      <c r="F33" s="94">
        <f t="shared" si="9"/>
        <v>8.3916000000000004</v>
      </c>
      <c r="G33" s="94">
        <f t="shared" ref="G33" si="16">F33*(1+$H$12)</f>
        <v>20.978999999999999</v>
      </c>
    </row>
    <row r="34" spans="2:8" x14ac:dyDescent="0.15">
      <c r="B34" s="216"/>
      <c r="C34" s="201"/>
      <c r="D34" s="201"/>
      <c r="E34" s="201"/>
      <c r="F34" s="201"/>
      <c r="G34" s="201"/>
    </row>
    <row r="35" spans="2:8" x14ac:dyDescent="0.15">
      <c r="B35" s="5" t="s">
        <v>137</v>
      </c>
      <c r="C35" s="95">
        <v>45265</v>
      </c>
      <c r="D35" s="203"/>
      <c r="E35" s="201"/>
      <c r="F35" s="201"/>
      <c r="G35" s="201"/>
    </row>
    <row r="36" spans="2:8" x14ac:dyDescent="0.15">
      <c r="B36" t="s">
        <v>305</v>
      </c>
      <c r="D36" s="93">
        <v>410</v>
      </c>
      <c r="E36" s="94">
        <f>D36*$C$2</f>
        <v>455.1</v>
      </c>
      <c r="F36" s="94">
        <f>E36*(1+$C$3)</f>
        <v>546.12</v>
      </c>
      <c r="G36" s="94">
        <f t="shared" ref="G36" si="17">F36*(1+$H$12)</f>
        <v>1365.3</v>
      </c>
    </row>
    <row r="37" spans="2:8" x14ac:dyDescent="0.15">
      <c r="B37" t="s">
        <v>306</v>
      </c>
      <c r="D37" s="93">
        <v>7</v>
      </c>
      <c r="E37" s="94">
        <f>D37*$C$2</f>
        <v>7.7700000000000005</v>
      </c>
      <c r="F37" s="94">
        <f>E37*(1+$C$3)</f>
        <v>9.3239999999999998</v>
      </c>
      <c r="G37" s="94">
        <f t="shared" ref="G37" si="18">F37*(1+$H$12)</f>
        <v>23.31</v>
      </c>
    </row>
    <row r="38" spans="2:8" x14ac:dyDescent="0.15">
      <c r="B38" s="216"/>
      <c r="C38" s="201"/>
      <c r="D38" s="201"/>
      <c r="E38" s="201"/>
      <c r="F38" s="201"/>
      <c r="G38" s="201"/>
    </row>
    <row r="39" spans="2:8" x14ac:dyDescent="0.15">
      <c r="B39" s="5" t="s">
        <v>137</v>
      </c>
      <c r="C39" s="95">
        <v>45174</v>
      </c>
      <c r="D39" s="203"/>
      <c r="E39" s="201"/>
      <c r="F39" s="201"/>
      <c r="G39" s="94"/>
    </row>
    <row r="40" spans="2:8" x14ac:dyDescent="0.15">
      <c r="B40" t="s">
        <v>124</v>
      </c>
      <c r="D40" s="93">
        <v>75.599999999999994</v>
      </c>
      <c r="E40" s="94">
        <f>D40*$C$2</f>
        <v>83.915999999999997</v>
      </c>
      <c r="F40" s="94">
        <f>E40*(1+$C$3)</f>
        <v>100.69919999999999</v>
      </c>
      <c r="G40" s="94">
        <f t="shared" ref="G40:G46" si="19">F40*(1+$H$12)</f>
        <v>251.74799999999999</v>
      </c>
    </row>
    <row r="41" spans="2:8" x14ac:dyDescent="0.15">
      <c r="B41" t="s">
        <v>128</v>
      </c>
      <c r="D41" s="93">
        <v>79.8</v>
      </c>
      <c r="E41" s="94">
        <f>D41*$C$2</f>
        <v>88.578000000000003</v>
      </c>
      <c r="F41" s="94">
        <f>E41*(1+$C$3)</f>
        <v>106.2936</v>
      </c>
      <c r="G41" s="94">
        <f t="shared" si="19"/>
        <v>265.73399999999998</v>
      </c>
    </row>
    <row r="42" spans="2:8" x14ac:dyDescent="0.15">
      <c r="B42" t="s">
        <v>122</v>
      </c>
      <c r="D42" s="93">
        <v>55.3</v>
      </c>
      <c r="E42" s="94">
        <f t="shared" ref="E42:E46" si="20">D42*$C$2</f>
        <v>61.383000000000003</v>
      </c>
      <c r="F42" s="94">
        <f t="shared" ref="F42:F46" si="21">E42*(1+$C$3)</f>
        <v>73.659599999999998</v>
      </c>
      <c r="G42" s="94">
        <f t="shared" si="19"/>
        <v>184.149</v>
      </c>
    </row>
    <row r="43" spans="2:8" x14ac:dyDescent="0.15">
      <c r="B43" t="s">
        <v>221</v>
      </c>
      <c r="D43" s="93">
        <v>79.2</v>
      </c>
      <c r="E43" s="94">
        <f t="shared" si="20"/>
        <v>87.912000000000006</v>
      </c>
      <c r="F43" s="94">
        <f t="shared" si="21"/>
        <v>105.4944</v>
      </c>
      <c r="G43" s="94">
        <f t="shared" si="19"/>
        <v>263.73599999999999</v>
      </c>
    </row>
    <row r="44" spans="2:8" x14ac:dyDescent="0.15">
      <c r="B44" t="s">
        <v>222</v>
      </c>
      <c r="D44" s="93">
        <v>83.2</v>
      </c>
      <c r="E44" s="94">
        <f t="shared" si="20"/>
        <v>92.352000000000018</v>
      </c>
      <c r="F44" s="94">
        <f t="shared" si="21"/>
        <v>110.82240000000002</v>
      </c>
      <c r="G44" s="94">
        <f t="shared" si="19"/>
        <v>277.05600000000004</v>
      </c>
    </row>
    <row r="45" spans="2:8" x14ac:dyDescent="0.15">
      <c r="B45" t="s">
        <v>126</v>
      </c>
      <c r="D45" s="93">
        <v>66.900000000000006</v>
      </c>
      <c r="E45" s="94">
        <f t="shared" si="20"/>
        <v>74.259000000000015</v>
      </c>
      <c r="F45" s="94">
        <f t="shared" si="21"/>
        <v>89.110800000000012</v>
      </c>
      <c r="G45" s="94">
        <f t="shared" si="19"/>
        <v>222.77700000000004</v>
      </c>
    </row>
    <row r="46" spans="2:8" x14ac:dyDescent="0.15">
      <c r="B46" t="s">
        <v>201</v>
      </c>
      <c r="C46" s="205"/>
      <c r="D46" s="93">
        <f>6.3</f>
        <v>6.3</v>
      </c>
      <c r="E46" s="206">
        <f t="shared" si="20"/>
        <v>6.9930000000000003</v>
      </c>
      <c r="F46" s="206">
        <f t="shared" si="21"/>
        <v>8.3916000000000004</v>
      </c>
      <c r="G46" s="206">
        <f t="shared" si="19"/>
        <v>20.978999999999999</v>
      </c>
      <c r="H46" s="85"/>
    </row>
    <row r="47" spans="2:8" x14ac:dyDescent="0.15">
      <c r="C47" s="205"/>
      <c r="D47" s="93"/>
      <c r="E47" s="206"/>
      <c r="F47" s="206"/>
      <c r="G47" s="206"/>
      <c r="H47" s="85"/>
    </row>
    <row r="48" spans="2:8" x14ac:dyDescent="0.15">
      <c r="B48" s="5" t="s">
        <v>137</v>
      </c>
      <c r="C48" s="95">
        <v>45108</v>
      </c>
      <c r="D48" s="203"/>
      <c r="E48" s="201"/>
      <c r="F48" s="201"/>
      <c r="G48" s="94"/>
      <c r="H48" s="85"/>
    </row>
    <row r="49" spans="2:8" x14ac:dyDescent="0.15">
      <c r="B49" t="s">
        <v>123</v>
      </c>
      <c r="D49" s="93">
        <v>50.46</v>
      </c>
      <c r="E49" s="94">
        <f>D49*$C$2</f>
        <v>56.010600000000004</v>
      </c>
      <c r="F49" s="94">
        <f>E49*(1+$C$3)</f>
        <v>67.212720000000004</v>
      </c>
      <c r="G49" s="94">
        <f t="shared" ref="G49:G54" si="22">F49*(1+$H$12)</f>
        <v>168.0318</v>
      </c>
      <c r="H49" s="85"/>
    </row>
    <row r="50" spans="2:8" x14ac:dyDescent="0.15">
      <c r="B50" t="s">
        <v>127</v>
      </c>
      <c r="D50" s="93">
        <v>50.46</v>
      </c>
      <c r="E50" s="94">
        <f>D50*$C$2</f>
        <v>56.010600000000004</v>
      </c>
      <c r="F50" s="94">
        <f>E50*(1+$C$3)</f>
        <v>67.212720000000004</v>
      </c>
      <c r="G50" s="94">
        <f t="shared" si="22"/>
        <v>168.0318</v>
      </c>
      <c r="H50" s="85"/>
    </row>
    <row r="51" spans="2:8" x14ac:dyDescent="0.15">
      <c r="B51" t="s">
        <v>122</v>
      </c>
      <c r="D51" s="93">
        <v>55.3</v>
      </c>
      <c r="E51" s="94">
        <f t="shared" ref="E51:E54" si="23">D51*$C$2</f>
        <v>61.383000000000003</v>
      </c>
      <c r="F51" s="94">
        <f t="shared" ref="F51:F54" si="24">E51*(1+$C$3)</f>
        <v>73.659599999999998</v>
      </c>
      <c r="G51" s="94">
        <f t="shared" si="22"/>
        <v>184.149</v>
      </c>
      <c r="H51" s="85"/>
    </row>
    <row r="52" spans="2:8" x14ac:dyDescent="0.15">
      <c r="B52" t="s">
        <v>221</v>
      </c>
      <c r="D52" s="93">
        <v>79.2</v>
      </c>
      <c r="E52" s="94">
        <f t="shared" ref="E52" si="25">D52*$C$2</f>
        <v>87.912000000000006</v>
      </c>
      <c r="F52" s="94">
        <f t="shared" ref="F52" si="26">E52*(1+$C$3)</f>
        <v>105.4944</v>
      </c>
      <c r="G52" s="94">
        <f t="shared" ref="G52" si="27">F52*(1+$H$12)</f>
        <v>263.73599999999999</v>
      </c>
      <c r="H52" s="85"/>
    </row>
    <row r="53" spans="2:8" x14ac:dyDescent="0.15">
      <c r="B53" t="s">
        <v>131</v>
      </c>
      <c r="D53" s="93">
        <v>104.3</v>
      </c>
      <c r="E53" s="94">
        <f t="shared" si="23"/>
        <v>115.77300000000001</v>
      </c>
      <c r="F53" s="94">
        <f t="shared" si="24"/>
        <v>138.92760000000001</v>
      </c>
      <c r="G53" s="94">
        <f t="shared" si="22"/>
        <v>347.31900000000002</v>
      </c>
      <c r="H53" s="85"/>
    </row>
    <row r="54" spans="2:8" x14ac:dyDescent="0.15">
      <c r="B54" t="s">
        <v>201</v>
      </c>
      <c r="C54" s="205"/>
      <c r="D54" s="93">
        <f>6.3</f>
        <v>6.3</v>
      </c>
      <c r="E54" s="206">
        <f t="shared" si="23"/>
        <v>6.9930000000000003</v>
      </c>
      <c r="F54" s="206">
        <f t="shared" si="24"/>
        <v>8.3916000000000004</v>
      </c>
      <c r="G54" s="206">
        <f t="shared" si="22"/>
        <v>20.978999999999999</v>
      </c>
      <c r="H54" s="85"/>
    </row>
    <row r="55" spans="2:8" x14ac:dyDescent="0.15">
      <c r="D55" s="93"/>
      <c r="E55" s="94"/>
      <c r="F55" s="94"/>
      <c r="G55" s="94"/>
      <c r="H55" s="85"/>
    </row>
    <row r="56" spans="2:8" x14ac:dyDescent="0.15">
      <c r="B56" s="5" t="s">
        <v>137</v>
      </c>
      <c r="C56" s="95">
        <v>45017</v>
      </c>
      <c r="D56" s="203"/>
      <c r="E56" s="201"/>
      <c r="F56" s="201"/>
      <c r="G56" s="201"/>
      <c r="H56" s="85"/>
    </row>
    <row r="57" spans="2:8" x14ac:dyDescent="0.15">
      <c r="B57" s="205" t="s">
        <v>214</v>
      </c>
      <c r="C57" s="205"/>
      <c r="D57" s="93">
        <v>71.2</v>
      </c>
      <c r="E57" s="206">
        <f t="shared" ref="E57:E58" si="28">D57*$C$2</f>
        <v>79.032000000000011</v>
      </c>
      <c r="F57" s="206">
        <f t="shared" ref="F57:F58" si="29">E57*(1+$C$3)</f>
        <v>94.838400000000007</v>
      </c>
      <c r="G57" s="206">
        <f>F57*(1+$H$12)</f>
        <v>237.096</v>
      </c>
      <c r="H57" s="85"/>
    </row>
    <row r="58" spans="2:8" x14ac:dyDescent="0.15">
      <c r="B58" s="205" t="s">
        <v>215</v>
      </c>
      <c r="C58" s="205"/>
      <c r="D58" s="93">
        <v>126.2</v>
      </c>
      <c r="E58" s="206">
        <f t="shared" si="28"/>
        <v>140.08200000000002</v>
      </c>
      <c r="F58" s="206">
        <f t="shared" si="29"/>
        <v>168.09840000000003</v>
      </c>
      <c r="G58" s="206">
        <f>F58*(1+$H$12)</f>
        <v>420.24600000000009</v>
      </c>
      <c r="H58" s="85"/>
    </row>
    <row r="59" spans="2:8" x14ac:dyDescent="0.15">
      <c r="B59" s="205" t="s">
        <v>216</v>
      </c>
      <c r="C59" s="205"/>
      <c r="D59" s="93">
        <v>387.6</v>
      </c>
      <c r="E59" s="206">
        <f t="shared" ref="E59:E62" si="30">D59*$C$2</f>
        <v>430.23600000000005</v>
      </c>
      <c r="F59" s="206">
        <f t="shared" ref="F59:F62" si="31">E59*(1+$C$3)</f>
        <v>516.28320000000008</v>
      </c>
      <c r="G59" s="206">
        <f>F59*(1+$H$12)</f>
        <v>1290.7080000000001</v>
      </c>
      <c r="H59" s="85"/>
    </row>
    <row r="60" spans="2:8" x14ac:dyDescent="0.15">
      <c r="B60" s="205" t="s">
        <v>217</v>
      </c>
      <c r="C60" s="205"/>
      <c r="D60" s="93">
        <v>34.799999999999997</v>
      </c>
      <c r="E60" s="206">
        <f t="shared" si="30"/>
        <v>38.628</v>
      </c>
      <c r="F60" s="206">
        <f t="shared" si="31"/>
        <v>46.3536</v>
      </c>
      <c r="G60" s="206">
        <f>F60*(1+$H$12)</f>
        <v>115.884</v>
      </c>
      <c r="H60" s="85"/>
    </row>
    <row r="61" spans="2:8" x14ac:dyDescent="0.15">
      <c r="B61" s="205" t="s">
        <v>196</v>
      </c>
      <c r="C61" s="205"/>
      <c r="D61" s="93">
        <f>59.7</f>
        <v>59.7</v>
      </c>
      <c r="E61" s="206">
        <f t="shared" si="30"/>
        <v>66.26700000000001</v>
      </c>
      <c r="F61" s="206">
        <f t="shared" si="31"/>
        <v>79.520400000000009</v>
      </c>
      <c r="G61" s="206">
        <f>F61*(1+$H$12)</f>
        <v>198.80100000000002</v>
      </c>
      <c r="H61" s="85"/>
    </row>
    <row r="62" spans="2:8" x14ac:dyDescent="0.15">
      <c r="B62" s="205" t="s">
        <v>197</v>
      </c>
      <c r="C62" s="205"/>
      <c r="D62" s="93">
        <f>68.4</f>
        <v>68.400000000000006</v>
      </c>
      <c r="E62" s="206">
        <f t="shared" si="30"/>
        <v>75.924000000000007</v>
      </c>
      <c r="F62" s="206">
        <f t="shared" si="31"/>
        <v>91.108800000000002</v>
      </c>
      <c r="G62" s="206">
        <f t="shared" ref="G62:G68" si="32">F62*(1+$H$12)</f>
        <v>227.77199999999999</v>
      </c>
      <c r="H62" s="85"/>
    </row>
    <row r="63" spans="2:8" x14ac:dyDescent="0.15">
      <c r="B63" s="205" t="s">
        <v>131</v>
      </c>
      <c r="C63" s="205"/>
      <c r="D63" s="93">
        <v>104.3</v>
      </c>
      <c r="E63" s="206">
        <f t="shared" ref="E63" si="33">D63*$C$2</f>
        <v>115.77300000000001</v>
      </c>
      <c r="F63" s="206">
        <f t="shared" ref="F63" si="34">E63*(1+$C$3)</f>
        <v>138.92760000000001</v>
      </c>
      <c r="G63" s="206">
        <f t="shared" si="32"/>
        <v>347.31900000000002</v>
      </c>
    </row>
    <row r="64" spans="2:8" x14ac:dyDescent="0.15">
      <c r="B64" t="s">
        <v>199</v>
      </c>
      <c r="C64" s="205"/>
      <c r="D64" s="93">
        <f>6.3</f>
        <v>6.3</v>
      </c>
      <c r="E64" s="206">
        <f t="shared" ref="E64:E66" si="35">D64*$C$2</f>
        <v>6.9930000000000003</v>
      </c>
      <c r="F64" s="206">
        <f t="shared" ref="F64" si="36">E64*(1+$C$3)</f>
        <v>8.3916000000000004</v>
      </c>
      <c r="G64" s="206">
        <f t="shared" si="32"/>
        <v>20.978999999999999</v>
      </c>
    </row>
    <row r="65" spans="2:10" x14ac:dyDescent="0.15">
      <c r="B65" s="205" t="s">
        <v>198</v>
      </c>
      <c r="C65" s="205"/>
      <c r="D65" s="93">
        <v>72.599999999999994</v>
      </c>
      <c r="E65" s="206">
        <f t="shared" si="35"/>
        <v>80.585999999999999</v>
      </c>
      <c r="F65" s="206">
        <f t="shared" ref="F65" si="37">E65*(1+$C$3)</f>
        <v>96.703199999999995</v>
      </c>
      <c r="G65" s="206">
        <f t="shared" si="32"/>
        <v>241.75799999999998</v>
      </c>
      <c r="I65" s="185">
        <f>(D84-D114)/D114</f>
        <v>0.14090909090909087</v>
      </c>
      <c r="J65" t="s">
        <v>151</v>
      </c>
    </row>
    <row r="66" spans="2:10" x14ac:dyDescent="0.15">
      <c r="B66" s="205" t="s">
        <v>181</v>
      </c>
      <c r="C66" s="205"/>
      <c r="D66" s="93">
        <v>78.5</v>
      </c>
      <c r="E66" s="206">
        <f t="shared" si="35"/>
        <v>87.135000000000005</v>
      </c>
      <c r="F66" s="206">
        <f t="shared" ref="F66" si="38">E66*(1+$C$3)</f>
        <v>104.562</v>
      </c>
      <c r="G66" s="206">
        <f t="shared" si="32"/>
        <v>261.40499999999997</v>
      </c>
    </row>
    <row r="67" spans="2:10" x14ac:dyDescent="0.15">
      <c r="B67" s="205" t="s">
        <v>200</v>
      </c>
      <c r="C67" s="205"/>
      <c r="D67" s="93">
        <f>79.2</f>
        <v>79.2</v>
      </c>
      <c r="E67" s="206">
        <f t="shared" ref="E67:E68" si="39">D67*$C$2</f>
        <v>87.912000000000006</v>
      </c>
      <c r="F67" s="206">
        <f t="shared" ref="F67:F68" si="40">E67*(1+$C$3)</f>
        <v>105.4944</v>
      </c>
      <c r="G67" s="206">
        <f t="shared" si="32"/>
        <v>263.73599999999999</v>
      </c>
    </row>
    <row r="68" spans="2:10" x14ac:dyDescent="0.15">
      <c r="B68" t="s">
        <v>201</v>
      </c>
      <c r="C68" s="205"/>
      <c r="D68" s="93">
        <f>6.3</f>
        <v>6.3</v>
      </c>
      <c r="E68" s="206">
        <f t="shared" si="39"/>
        <v>6.9930000000000003</v>
      </c>
      <c r="F68" s="206">
        <f t="shared" si="40"/>
        <v>8.3916000000000004</v>
      </c>
      <c r="G68" s="206">
        <f t="shared" si="32"/>
        <v>20.978999999999999</v>
      </c>
    </row>
    <row r="69" spans="2:10" x14ac:dyDescent="0.15">
      <c r="B69" s="205" t="s">
        <v>128</v>
      </c>
      <c r="C69" s="205"/>
      <c r="D69" s="93">
        <v>79.819999999999993</v>
      </c>
      <c r="E69" s="206">
        <f t="shared" ref="E69:E70" si="41">D69*$C$2</f>
        <v>88.600200000000001</v>
      </c>
      <c r="F69" s="206">
        <f t="shared" ref="F69:F70" si="42">E69*(1+$C$3)</f>
        <v>106.32024</v>
      </c>
      <c r="G69" s="206">
        <f t="shared" ref="G69:G70" si="43">F69*(1+$H$12)</f>
        <v>265.80059999999997</v>
      </c>
    </row>
    <row r="70" spans="2:10" x14ac:dyDescent="0.15">
      <c r="B70" s="205" t="s">
        <v>207</v>
      </c>
      <c r="C70" s="205"/>
      <c r="D70" s="93">
        <v>83.2</v>
      </c>
      <c r="E70" s="206">
        <f t="shared" si="41"/>
        <v>92.352000000000018</v>
      </c>
      <c r="F70" s="206">
        <f t="shared" si="42"/>
        <v>110.82240000000002</v>
      </c>
      <c r="G70" s="206">
        <f t="shared" si="43"/>
        <v>277.05600000000004</v>
      </c>
    </row>
    <row r="71" spans="2:10" x14ac:dyDescent="0.15">
      <c r="B71" s="205"/>
      <c r="C71" s="205"/>
      <c r="D71" s="93"/>
      <c r="E71" s="206"/>
      <c r="F71" s="206"/>
      <c r="G71" s="206"/>
    </row>
    <row r="72" spans="2:10" x14ac:dyDescent="0.15">
      <c r="B72" s="205"/>
      <c r="C72" s="205"/>
      <c r="D72" s="205"/>
      <c r="E72" s="205"/>
      <c r="F72" s="205"/>
      <c r="G72" s="205"/>
    </row>
    <row r="73" spans="2:10" x14ac:dyDescent="0.15">
      <c r="B73" s="5" t="s">
        <v>137</v>
      </c>
      <c r="C73" s="95">
        <v>45006</v>
      </c>
      <c r="D73" s="202" t="s">
        <v>183</v>
      </c>
      <c r="E73" s="201"/>
      <c r="F73" s="201"/>
      <c r="G73" s="201"/>
    </row>
    <row r="74" spans="2:10" x14ac:dyDescent="0.15">
      <c r="B74" t="s">
        <v>181</v>
      </c>
      <c r="D74" s="93">
        <v>225</v>
      </c>
      <c r="E74" s="94">
        <f t="shared" ref="E74:E75" si="44">D74*$C$2</f>
        <v>249.75000000000003</v>
      </c>
      <c r="F74" s="94">
        <f t="shared" ref="F74:F75" si="45">E74*(1+$C$3)</f>
        <v>299.70000000000005</v>
      </c>
      <c r="G74" s="94">
        <f>F74*(1+$H$12)</f>
        <v>749.25000000000011</v>
      </c>
    </row>
    <row r="75" spans="2:10" x14ac:dyDescent="0.15">
      <c r="B75" t="s">
        <v>182</v>
      </c>
      <c r="D75" s="93">
        <v>65</v>
      </c>
      <c r="E75" s="94">
        <f t="shared" si="44"/>
        <v>72.150000000000006</v>
      </c>
      <c r="F75" s="94">
        <f t="shared" si="45"/>
        <v>86.58</v>
      </c>
      <c r="G75" s="94">
        <f t="shared" ref="G75:G119" si="46">F75*(1+$H$12)</f>
        <v>216.45</v>
      </c>
    </row>
    <row r="76" spans="2:10" x14ac:dyDescent="0.15">
      <c r="D76" s="93"/>
      <c r="E76" s="94"/>
      <c r="F76" s="94"/>
      <c r="G76" s="94"/>
      <c r="I76" s="185">
        <f>(D103-'Sensor Costs'!D113)/D113</f>
        <v>0.13333333333333336</v>
      </c>
      <c r="J76" t="s">
        <v>151</v>
      </c>
    </row>
    <row r="77" spans="2:10" x14ac:dyDescent="0.15">
      <c r="C77" s="95"/>
      <c r="D77" s="93"/>
      <c r="E77" s="94"/>
      <c r="F77" s="94"/>
      <c r="G77" s="94"/>
      <c r="I77" s="185">
        <f>(D104-D118)/D118</f>
        <v>3.2967032967032968E-2</v>
      </c>
      <c r="J77" t="s">
        <v>152</v>
      </c>
    </row>
    <row r="78" spans="2:10" x14ac:dyDescent="0.15">
      <c r="B78" s="5" t="s">
        <v>137</v>
      </c>
      <c r="C78" s="95">
        <v>44991</v>
      </c>
      <c r="D78" s="203"/>
      <c r="E78" s="201"/>
      <c r="F78" s="201"/>
      <c r="G78" s="94"/>
    </row>
    <row r="79" spans="2:10" x14ac:dyDescent="0.15">
      <c r="B79" t="s">
        <v>177</v>
      </c>
      <c r="D79" s="93">
        <v>325.3</v>
      </c>
      <c r="E79" s="94">
        <f t="shared" ref="E79:E80" si="47">D79*$C$2</f>
        <v>361.08300000000003</v>
      </c>
      <c r="F79" s="94">
        <f t="shared" ref="F79:F80" si="48">E79*(1+$C$3)</f>
        <v>433.2996</v>
      </c>
      <c r="G79" s="94">
        <f t="shared" si="46"/>
        <v>1083.249</v>
      </c>
    </row>
    <row r="80" spans="2:10" x14ac:dyDescent="0.15">
      <c r="B80" t="s">
        <v>178</v>
      </c>
      <c r="D80" s="93">
        <v>387.6</v>
      </c>
      <c r="E80" s="94">
        <f t="shared" si="47"/>
        <v>430.23600000000005</v>
      </c>
      <c r="F80" s="94">
        <f t="shared" si="48"/>
        <v>516.28320000000008</v>
      </c>
      <c r="G80" s="94">
        <f t="shared" si="46"/>
        <v>1290.7080000000001</v>
      </c>
    </row>
    <row r="81" spans="2:7" x14ac:dyDescent="0.15">
      <c r="B81" t="s">
        <v>179</v>
      </c>
      <c r="D81" s="93">
        <v>387.6</v>
      </c>
      <c r="E81" s="94">
        <f>D81*$C$2</f>
        <v>430.23600000000005</v>
      </c>
      <c r="F81" s="94">
        <f>E81*(1+$C$3)</f>
        <v>516.28320000000008</v>
      </c>
      <c r="G81" s="94">
        <f t="shared" si="46"/>
        <v>1290.7080000000001</v>
      </c>
    </row>
    <row r="82" spans="2:7" x14ac:dyDescent="0.15">
      <c r="C82" s="95"/>
      <c r="D82" s="93"/>
      <c r="E82" s="94"/>
      <c r="F82" s="94"/>
      <c r="G82" s="94"/>
    </row>
    <row r="83" spans="2:7" x14ac:dyDescent="0.15">
      <c r="B83" s="5" t="s">
        <v>137</v>
      </c>
      <c r="C83" s="95">
        <v>44885</v>
      </c>
      <c r="D83" s="203"/>
      <c r="E83" s="201"/>
      <c r="F83" s="201"/>
      <c r="G83" s="94"/>
    </row>
    <row r="84" spans="2:7" x14ac:dyDescent="0.15">
      <c r="B84" t="s">
        <v>128</v>
      </c>
      <c r="D84" s="93">
        <v>75.3</v>
      </c>
      <c r="E84" s="94">
        <f t="shared" ref="E84:E85" si="49">D84*$C$2</f>
        <v>83.582999999999998</v>
      </c>
      <c r="F84" s="94">
        <f t="shared" ref="F84:F85" si="50">E84*(1+$C$3)</f>
        <v>100.2996</v>
      </c>
      <c r="G84" s="94">
        <f t="shared" si="46"/>
        <v>250.749</v>
      </c>
    </row>
    <row r="85" spans="2:7" x14ac:dyDescent="0.15">
      <c r="B85" t="s">
        <v>130</v>
      </c>
      <c r="D85" s="93">
        <v>75.599999999999994</v>
      </c>
      <c r="E85" s="94">
        <f t="shared" si="49"/>
        <v>83.915999999999997</v>
      </c>
      <c r="F85" s="94">
        <f t="shared" si="50"/>
        <v>100.69919999999999</v>
      </c>
      <c r="G85" s="94">
        <f t="shared" si="46"/>
        <v>251.74799999999999</v>
      </c>
    </row>
    <row r="86" spans="2:7" x14ac:dyDescent="0.15">
      <c r="B86" t="s">
        <v>167</v>
      </c>
      <c r="D86" s="93">
        <v>6</v>
      </c>
      <c r="E86" s="94">
        <f>D86*$C$2</f>
        <v>6.66</v>
      </c>
      <c r="F86" s="94">
        <f>E86*(1+$C$3)</f>
        <v>7.992</v>
      </c>
      <c r="G86" s="94">
        <f t="shared" si="46"/>
        <v>19.98</v>
      </c>
    </row>
    <row r="87" spans="2:7" x14ac:dyDescent="0.15">
      <c r="B87" t="s">
        <v>170</v>
      </c>
      <c r="C87" s="95"/>
      <c r="D87" s="93">
        <v>0.6</v>
      </c>
      <c r="E87" s="94">
        <f>D87*$C$2</f>
        <v>0.66600000000000004</v>
      </c>
      <c r="F87" s="94">
        <f>E87*(1+$C$3)</f>
        <v>0.79920000000000002</v>
      </c>
      <c r="G87" s="94">
        <f t="shared" si="46"/>
        <v>1.998</v>
      </c>
    </row>
    <row r="88" spans="2:7" x14ac:dyDescent="0.15">
      <c r="B88" s="5"/>
      <c r="C88" s="95"/>
      <c r="D88" s="201"/>
      <c r="E88" s="201"/>
      <c r="F88" s="201"/>
      <c r="G88" s="94"/>
    </row>
    <row r="89" spans="2:7" x14ac:dyDescent="0.15">
      <c r="B89" s="5" t="s">
        <v>137</v>
      </c>
      <c r="C89" s="95">
        <v>44835</v>
      </c>
      <c r="D89" s="203"/>
      <c r="E89" s="201"/>
      <c r="F89" s="201"/>
      <c r="G89" s="94"/>
    </row>
    <row r="90" spans="2:7" x14ac:dyDescent="0.15">
      <c r="B90" t="s">
        <v>123</v>
      </c>
      <c r="D90" s="93">
        <v>47.6</v>
      </c>
      <c r="E90" s="94">
        <f>D90*$C$2</f>
        <v>52.836000000000006</v>
      </c>
      <c r="F90" s="94">
        <f>E90*(1+$C$3)</f>
        <v>63.403200000000005</v>
      </c>
      <c r="G90" s="94">
        <f t="shared" si="46"/>
        <v>158.50800000000001</v>
      </c>
    </row>
    <row r="91" spans="2:7" x14ac:dyDescent="0.15">
      <c r="B91" t="s">
        <v>127</v>
      </c>
      <c r="D91" s="93">
        <v>47.6</v>
      </c>
      <c r="E91" s="94">
        <f>D91*$C$2</f>
        <v>52.836000000000006</v>
      </c>
      <c r="F91" s="94">
        <f>E91*(1+$C$3)</f>
        <v>63.403200000000005</v>
      </c>
      <c r="G91" s="94">
        <f t="shared" si="46"/>
        <v>158.50800000000001</v>
      </c>
    </row>
    <row r="92" spans="2:7" x14ac:dyDescent="0.15">
      <c r="B92" t="s">
        <v>129</v>
      </c>
      <c r="D92" s="93">
        <f>D115*(1+I76)</f>
        <v>57.8</v>
      </c>
      <c r="E92" s="94">
        <f t="shared" ref="E92" si="51">D92*$C$2</f>
        <v>64.158000000000001</v>
      </c>
      <c r="F92" s="94">
        <f t="shared" ref="F92" si="52">E92*(1+$C$3)</f>
        <v>76.989599999999996</v>
      </c>
      <c r="G92" s="94">
        <f t="shared" si="46"/>
        <v>192.47399999999999</v>
      </c>
    </row>
    <row r="93" spans="2:7" x14ac:dyDescent="0.15">
      <c r="B93" t="s">
        <v>168</v>
      </c>
      <c r="D93" s="93">
        <f>(D98+(D119*(1+I77)))/2</f>
        <v>123.32307692307694</v>
      </c>
      <c r="E93" s="94">
        <f t="shared" ref="E93" si="53">D93*$C$2</f>
        <v>136.88861538461541</v>
      </c>
      <c r="F93" s="94">
        <f t="shared" ref="F93" si="54">E93*(1+$C$3)</f>
        <v>164.26633846153848</v>
      </c>
      <c r="G93" s="94">
        <f t="shared" si="46"/>
        <v>410.66584615384619</v>
      </c>
    </row>
    <row r="94" spans="2:7" x14ac:dyDescent="0.15">
      <c r="B94" s="5"/>
      <c r="C94" s="95"/>
      <c r="G94" s="94"/>
    </row>
    <row r="95" spans="2:7" x14ac:dyDescent="0.15">
      <c r="B95" s="5" t="s">
        <v>137</v>
      </c>
      <c r="C95" s="95">
        <v>44805</v>
      </c>
      <c r="D95" s="203"/>
      <c r="G95" s="94"/>
    </row>
    <row r="96" spans="2:7" x14ac:dyDescent="0.15">
      <c r="B96" t="s">
        <v>123</v>
      </c>
      <c r="D96" s="93">
        <v>47.6</v>
      </c>
      <c r="E96" s="94">
        <f>D96*$C$2</f>
        <v>52.836000000000006</v>
      </c>
      <c r="F96" s="94">
        <f>E96*(1+$C$3)</f>
        <v>63.403200000000005</v>
      </c>
      <c r="G96" s="94">
        <f t="shared" si="46"/>
        <v>158.50800000000001</v>
      </c>
    </row>
    <row r="97" spans="2:9" x14ac:dyDescent="0.15">
      <c r="B97" t="s">
        <v>127</v>
      </c>
      <c r="D97" s="93">
        <v>47.6</v>
      </c>
      <c r="E97" s="94">
        <f>D97*$C$2</f>
        <v>52.836000000000006</v>
      </c>
      <c r="F97" s="94">
        <f>E97*(1+$C$3)</f>
        <v>63.403200000000005</v>
      </c>
      <c r="G97" s="94">
        <f t="shared" si="46"/>
        <v>158.50800000000001</v>
      </c>
    </row>
    <row r="98" spans="2:9" x14ac:dyDescent="0.15">
      <c r="B98" t="s">
        <v>131</v>
      </c>
      <c r="D98" s="93">
        <v>94.8</v>
      </c>
      <c r="E98" s="94">
        <f>D98*$C$2</f>
        <v>105.22800000000001</v>
      </c>
      <c r="F98" s="94">
        <f>E98*(1+$C$3)</f>
        <v>126.2736</v>
      </c>
      <c r="G98" s="94">
        <f t="shared" si="46"/>
        <v>315.68400000000003</v>
      </c>
    </row>
    <row r="99" spans="2:9" x14ac:dyDescent="0.15">
      <c r="B99" t="s">
        <v>167</v>
      </c>
      <c r="D99" s="93">
        <v>6</v>
      </c>
      <c r="E99" s="94">
        <f>D99*$C$2</f>
        <v>6.66</v>
      </c>
      <c r="F99" s="94">
        <f>E99*(1+$C$3)</f>
        <v>7.992</v>
      </c>
      <c r="G99" s="94">
        <f t="shared" si="46"/>
        <v>19.98</v>
      </c>
    </row>
    <row r="100" spans="2:9" x14ac:dyDescent="0.15">
      <c r="B100" s="5"/>
      <c r="G100" s="94"/>
    </row>
    <row r="101" spans="2:9" x14ac:dyDescent="0.15">
      <c r="B101" s="5" t="s">
        <v>137</v>
      </c>
      <c r="C101" s="95">
        <v>44593</v>
      </c>
      <c r="D101" s="203"/>
      <c r="G101" s="94"/>
    </row>
    <row r="102" spans="2:9" x14ac:dyDescent="0.15">
      <c r="B102" t="s">
        <v>123</v>
      </c>
      <c r="D102" s="93">
        <v>47.6</v>
      </c>
      <c r="E102" s="94">
        <f>D102*$C$2</f>
        <v>52.836000000000006</v>
      </c>
      <c r="F102" s="94">
        <f>E102*(1+$C$3)</f>
        <v>63.403200000000005</v>
      </c>
      <c r="G102" s="94">
        <f t="shared" si="46"/>
        <v>158.50800000000001</v>
      </c>
    </row>
    <row r="103" spans="2:9" x14ac:dyDescent="0.15">
      <c r="B103" t="s">
        <v>127</v>
      </c>
      <c r="D103" s="93">
        <v>47.6</v>
      </c>
      <c r="E103" s="94">
        <f>D103*$C$2</f>
        <v>52.836000000000006</v>
      </c>
      <c r="F103" s="94">
        <f>E103*(1+$C$3)</f>
        <v>63.403200000000005</v>
      </c>
      <c r="G103" s="94">
        <f t="shared" si="46"/>
        <v>158.50800000000001</v>
      </c>
    </row>
    <row r="104" spans="2:9" x14ac:dyDescent="0.15">
      <c r="B104" t="s">
        <v>131</v>
      </c>
      <c r="D104" s="93">
        <v>94</v>
      </c>
      <c r="E104" s="94">
        <f>D104*$C$2</f>
        <v>104.34</v>
      </c>
      <c r="F104" s="94">
        <f>E104*(1+$C$3)</f>
        <v>125.208</v>
      </c>
      <c r="G104" s="94">
        <f t="shared" si="46"/>
        <v>313.02</v>
      </c>
    </row>
    <row r="105" spans="2:9" x14ac:dyDescent="0.15">
      <c r="B105" t="s">
        <v>154</v>
      </c>
      <c r="D105" s="93">
        <v>7.2</v>
      </c>
      <c r="E105" s="94">
        <f>D105*$C$2</f>
        <v>7.9920000000000009</v>
      </c>
      <c r="F105" s="94">
        <f>E105*(1+$C$3)</f>
        <v>9.5904000000000007</v>
      </c>
      <c r="G105" s="94">
        <f t="shared" si="46"/>
        <v>23.976000000000003</v>
      </c>
    </row>
    <row r="106" spans="2:9" x14ac:dyDescent="0.15">
      <c r="D106" s="93"/>
      <c r="E106" s="94"/>
      <c r="F106" s="94"/>
      <c r="G106" s="94"/>
    </row>
    <row r="107" spans="2:9" x14ac:dyDescent="0.15">
      <c r="B107" s="5" t="s">
        <v>137</v>
      </c>
      <c r="C107" s="95">
        <v>44287</v>
      </c>
      <c r="D107" s="203"/>
      <c r="G107" s="94"/>
      <c r="I107" s="185"/>
    </row>
    <row r="108" spans="2:9" x14ac:dyDescent="0.15">
      <c r="B108" t="s">
        <v>122</v>
      </c>
      <c r="D108" s="93">
        <v>44</v>
      </c>
      <c r="E108" s="94">
        <f>D108*$C$2</f>
        <v>48.84</v>
      </c>
      <c r="F108" s="94">
        <f>E108*(1+$C$3)</f>
        <v>58.608000000000004</v>
      </c>
      <c r="G108" s="94">
        <f t="shared" si="46"/>
        <v>146.52000000000001</v>
      </c>
    </row>
    <row r="109" spans="2:9" x14ac:dyDescent="0.15">
      <c r="B109" t="s">
        <v>123</v>
      </c>
      <c r="D109" s="93">
        <v>42</v>
      </c>
      <c r="E109" s="94">
        <f t="shared" ref="E109:E119" si="55">D109*$C$2</f>
        <v>46.620000000000005</v>
      </c>
      <c r="F109" s="94">
        <f t="shared" ref="F109:F119" si="56">E109*(1+$C$3)</f>
        <v>55.944000000000003</v>
      </c>
      <c r="G109" s="94">
        <f t="shared" si="46"/>
        <v>139.86000000000001</v>
      </c>
    </row>
    <row r="110" spans="2:9" x14ac:dyDescent="0.15">
      <c r="B110" t="s">
        <v>124</v>
      </c>
      <c r="D110" s="93">
        <v>60</v>
      </c>
      <c r="E110" s="94">
        <f t="shared" si="55"/>
        <v>66.600000000000009</v>
      </c>
      <c r="F110" s="94">
        <f t="shared" si="56"/>
        <v>79.92</v>
      </c>
      <c r="G110" s="94">
        <f t="shared" si="46"/>
        <v>199.8</v>
      </c>
    </row>
    <row r="111" spans="2:9" x14ac:dyDescent="0.15">
      <c r="B111" t="s">
        <v>125</v>
      </c>
      <c r="D111" s="93">
        <v>57</v>
      </c>
      <c r="E111" s="94">
        <f t="shared" si="55"/>
        <v>63.27</v>
      </c>
      <c r="F111" s="94">
        <f t="shared" si="56"/>
        <v>75.924000000000007</v>
      </c>
      <c r="G111" s="94">
        <f t="shared" si="46"/>
        <v>189.81</v>
      </c>
    </row>
    <row r="112" spans="2:9" x14ac:dyDescent="0.15">
      <c r="B112" t="s">
        <v>126</v>
      </c>
      <c r="D112" s="93">
        <v>53</v>
      </c>
      <c r="E112" s="94">
        <f t="shared" si="55"/>
        <v>58.830000000000005</v>
      </c>
      <c r="F112" s="94">
        <f t="shared" si="56"/>
        <v>70.596000000000004</v>
      </c>
      <c r="G112" s="94">
        <f t="shared" si="46"/>
        <v>176.49</v>
      </c>
    </row>
    <row r="113" spans="2:10" x14ac:dyDescent="0.15">
      <c r="B113" t="s">
        <v>127</v>
      </c>
      <c r="D113" s="93">
        <v>42</v>
      </c>
      <c r="E113" s="94">
        <f t="shared" si="55"/>
        <v>46.620000000000005</v>
      </c>
      <c r="F113" s="94">
        <f t="shared" si="56"/>
        <v>55.944000000000003</v>
      </c>
      <c r="G113" s="94">
        <f t="shared" si="46"/>
        <v>139.86000000000001</v>
      </c>
    </row>
    <row r="114" spans="2:10" x14ac:dyDescent="0.15">
      <c r="B114" t="s">
        <v>128</v>
      </c>
      <c r="D114" s="93">
        <v>66</v>
      </c>
      <c r="E114" s="94">
        <f t="shared" si="55"/>
        <v>73.260000000000005</v>
      </c>
      <c r="F114" s="94">
        <f t="shared" si="56"/>
        <v>87.912000000000006</v>
      </c>
      <c r="G114" s="94">
        <f t="shared" si="46"/>
        <v>219.78000000000003</v>
      </c>
    </row>
    <row r="115" spans="2:10" x14ac:dyDescent="0.15">
      <c r="B115" t="s">
        <v>129</v>
      </c>
      <c r="D115" s="93">
        <v>51</v>
      </c>
      <c r="E115" s="94">
        <f t="shared" si="55"/>
        <v>56.610000000000007</v>
      </c>
      <c r="F115" s="94">
        <f t="shared" si="56"/>
        <v>67.932000000000002</v>
      </c>
      <c r="G115" s="94">
        <f t="shared" si="46"/>
        <v>169.83</v>
      </c>
    </row>
    <row r="116" spans="2:10" x14ac:dyDescent="0.15">
      <c r="B116" t="s">
        <v>140</v>
      </c>
      <c r="D116" s="93">
        <v>63</v>
      </c>
      <c r="E116" s="94">
        <f t="shared" ref="E116" si="57">D116*$C$2</f>
        <v>69.930000000000007</v>
      </c>
      <c r="F116" s="94">
        <f t="shared" ref="F116" si="58">E116*(1+$C$3)</f>
        <v>83.916000000000011</v>
      </c>
      <c r="G116" s="94">
        <f t="shared" si="46"/>
        <v>209.79000000000002</v>
      </c>
    </row>
    <row r="117" spans="2:10" x14ac:dyDescent="0.15">
      <c r="B117" t="s">
        <v>130</v>
      </c>
      <c r="D117" s="93">
        <v>69</v>
      </c>
      <c r="E117" s="94">
        <f t="shared" si="55"/>
        <v>76.59</v>
      </c>
      <c r="F117" s="94">
        <f t="shared" si="56"/>
        <v>91.908000000000001</v>
      </c>
      <c r="G117" s="94">
        <f t="shared" si="46"/>
        <v>229.77</v>
      </c>
    </row>
    <row r="118" spans="2:10" x14ac:dyDescent="0.15">
      <c r="B118" t="s">
        <v>131</v>
      </c>
      <c r="D118" s="93">
        <v>91</v>
      </c>
      <c r="E118" s="94">
        <f t="shared" si="55"/>
        <v>101.01</v>
      </c>
      <c r="F118" s="94">
        <f t="shared" si="56"/>
        <v>121.212</v>
      </c>
      <c r="G118" s="94">
        <f t="shared" si="46"/>
        <v>303.03000000000003</v>
      </c>
    </row>
    <row r="119" spans="2:10" x14ac:dyDescent="0.15">
      <c r="B119" t="s">
        <v>132</v>
      </c>
      <c r="D119" s="93">
        <v>147</v>
      </c>
      <c r="E119" s="94">
        <f t="shared" si="55"/>
        <v>163.17000000000002</v>
      </c>
      <c r="F119" s="94">
        <f t="shared" si="56"/>
        <v>195.804</v>
      </c>
      <c r="G119" s="94">
        <f t="shared" si="46"/>
        <v>489.51</v>
      </c>
    </row>
    <row r="122" spans="2:10" x14ac:dyDescent="0.15">
      <c r="B122" s="199" t="s">
        <v>135</v>
      </c>
      <c r="C122" s="200" t="s">
        <v>227</v>
      </c>
      <c r="D122" s="200"/>
      <c r="E122" s="200"/>
      <c r="F122" s="200"/>
      <c r="G122" s="200"/>
    </row>
    <row r="123" spans="2:10" x14ac:dyDescent="0.15">
      <c r="B123" s="5" t="s">
        <v>137</v>
      </c>
      <c r="C123" s="95">
        <v>45261</v>
      </c>
      <c r="D123" s="203"/>
    </row>
    <row r="124" spans="2:10" x14ac:dyDescent="0.15">
      <c r="B124" t="s">
        <v>228</v>
      </c>
      <c r="D124" s="93">
        <v>66.3</v>
      </c>
      <c r="E124" s="94">
        <f t="shared" ref="E124" si="59">D124*$C$2</f>
        <v>73.593000000000004</v>
      </c>
      <c r="F124" s="94">
        <f t="shared" ref="F124" si="60">E124*(1+$C$3)</f>
        <v>88.311599999999999</v>
      </c>
      <c r="G124" s="94">
        <f t="shared" ref="G124" si="61">F124*(1+$H$12)</f>
        <v>220.779</v>
      </c>
      <c r="I124">
        <v>20</v>
      </c>
      <c r="J124" s="94">
        <f>I124*E124</f>
        <v>1471.8600000000001</v>
      </c>
    </row>
    <row r="126" spans="2:10" x14ac:dyDescent="0.15">
      <c r="B126" s="199" t="s">
        <v>135</v>
      </c>
      <c r="C126" s="200" t="s">
        <v>253</v>
      </c>
      <c r="D126" s="200"/>
      <c r="E126" s="200"/>
      <c r="F126" s="200"/>
      <c r="G126" s="200"/>
    </row>
    <row r="127" spans="2:10" x14ac:dyDescent="0.15">
      <c r="B127" s="5" t="s">
        <v>137</v>
      </c>
      <c r="C127" s="95">
        <v>45505</v>
      </c>
      <c r="D127" s="203"/>
    </row>
    <row r="128" spans="2:10" x14ac:dyDescent="0.15">
      <c r="B128" t="s">
        <v>254</v>
      </c>
      <c r="D128" s="94">
        <v>100</v>
      </c>
      <c r="E128" s="94">
        <v>100</v>
      </c>
      <c r="F128" s="94">
        <f t="shared" ref="F128" si="62">E128*(1+$C$3)</f>
        <v>120</v>
      </c>
      <c r="G128" s="94">
        <f t="shared" ref="G128" si="63">F128*(1+$H$12)</f>
        <v>300</v>
      </c>
      <c r="I128">
        <v>20</v>
      </c>
      <c r="J128" s="94">
        <f>I128*E128</f>
        <v>2000</v>
      </c>
    </row>
    <row r="132" spans="2:7" ht="13" customHeight="1" x14ac:dyDescent="0.15">
      <c r="B132" s="199" t="s">
        <v>135</v>
      </c>
      <c r="C132" s="200" t="s">
        <v>141</v>
      </c>
      <c r="D132" s="200"/>
      <c r="E132" s="200"/>
      <c r="F132" s="200"/>
      <c r="G132" s="200"/>
    </row>
    <row r="133" spans="2:7" x14ac:dyDescent="0.15">
      <c r="B133" s="5" t="s">
        <v>137</v>
      </c>
      <c r="C133" s="95">
        <v>45505</v>
      </c>
      <c r="D133" s="227"/>
    </row>
    <row r="134" spans="2:7" x14ac:dyDescent="0.15">
      <c r="B134" t="s">
        <v>252</v>
      </c>
      <c r="C134" s="95"/>
      <c r="D134" s="93">
        <v>20</v>
      </c>
      <c r="E134" s="94">
        <f t="shared" ref="E134" si="64">D134*$C$2</f>
        <v>22.200000000000003</v>
      </c>
      <c r="F134" s="94">
        <f t="shared" ref="F134" si="65">E134*(1+$C$3)</f>
        <v>26.640000000000004</v>
      </c>
      <c r="G134" s="96">
        <f>F134*(1+$H$12)</f>
        <v>66.600000000000009</v>
      </c>
    </row>
    <row r="135" spans="2:7" x14ac:dyDescent="0.15">
      <c r="C135" s="95"/>
      <c r="D135" s="94"/>
      <c r="E135" s="94"/>
      <c r="F135" s="94"/>
      <c r="G135" s="96"/>
    </row>
    <row r="136" spans="2:7" x14ac:dyDescent="0.15">
      <c r="B136" s="5" t="s">
        <v>137</v>
      </c>
      <c r="C136" s="95">
        <v>44713</v>
      </c>
    </row>
    <row r="137" spans="2:7" x14ac:dyDescent="0.15">
      <c r="B137" t="s">
        <v>166</v>
      </c>
      <c r="C137" s="95"/>
      <c r="D137" s="94">
        <v>45</v>
      </c>
      <c r="E137" s="94">
        <v>45</v>
      </c>
      <c r="F137" s="94">
        <f t="shared" ref="F137" si="66">E137*(1+$C$3)</f>
        <v>54</v>
      </c>
      <c r="G137" s="96">
        <f>F137*(1+$H$12)</f>
        <v>135</v>
      </c>
    </row>
    <row r="138" spans="2:7" x14ac:dyDescent="0.15">
      <c r="C138" s="95"/>
      <c r="D138" s="94"/>
      <c r="E138" s="94"/>
      <c r="F138" s="94"/>
      <c r="G138" s="96"/>
    </row>
    <row r="139" spans="2:7" x14ac:dyDescent="0.15">
      <c r="B139" s="5" t="s">
        <v>137</v>
      </c>
      <c r="C139" s="95">
        <v>44562</v>
      </c>
      <c r="G139" s="96"/>
    </row>
    <row r="140" spans="2:7" x14ac:dyDescent="0.15">
      <c r="B140" t="s">
        <v>165</v>
      </c>
      <c r="C140" s="95"/>
      <c r="D140" s="94">
        <v>100</v>
      </c>
      <c r="E140" s="94">
        <v>100</v>
      </c>
      <c r="F140" s="94">
        <f t="shared" ref="F140" si="67">E140*(1+$C$3)</f>
        <v>120</v>
      </c>
      <c r="G140" s="96">
        <f t="shared" ref="G140" si="68">F140*(1+$H$12)</f>
        <v>300</v>
      </c>
    </row>
    <row r="142" spans="2:7" x14ac:dyDescent="0.15">
      <c r="B142" s="199" t="s">
        <v>135</v>
      </c>
      <c r="C142" s="200" t="s">
        <v>138</v>
      </c>
      <c r="D142" s="200"/>
      <c r="E142" s="200"/>
      <c r="F142" s="200"/>
      <c r="G142" s="200"/>
    </row>
    <row r="143" spans="2:7" x14ac:dyDescent="0.15">
      <c r="B143" s="5" t="s">
        <v>137</v>
      </c>
      <c r="C143" s="95">
        <v>44197</v>
      </c>
    </row>
    <row r="144" spans="2:7" x14ac:dyDescent="0.15">
      <c r="B144" t="s">
        <v>139</v>
      </c>
      <c r="D144" s="94">
        <v>75</v>
      </c>
      <c r="E144" s="94">
        <v>75</v>
      </c>
      <c r="F144" s="94">
        <f>E144*(1+$C$3)</f>
        <v>90</v>
      </c>
      <c r="G144" s="96">
        <f t="shared" ref="G144" si="69">F144*(1+$H$12)</f>
        <v>225</v>
      </c>
    </row>
    <row r="150" spans="5:7" x14ac:dyDescent="0.15">
      <c r="E150" s="93">
        <f>D117+D108</f>
        <v>113</v>
      </c>
      <c r="F150" s="94">
        <f>E150*(1+$C$3)</f>
        <v>135.6</v>
      </c>
      <c r="G150">
        <v>135</v>
      </c>
    </row>
  </sheetData>
  <pageMargins left="0.7" right="0.7" top="0.75" bottom="0.75" header="0.3" footer="0.3"/>
  <pageSetup paperSize="9" orientation="portrait" horizontalDpi="0" verticalDpi="0"/>
  <extLst>
    <ext xmlns:x15="http://schemas.microsoft.com/office/spreadsheetml/2010/11/main" uri="{F7C9EE02-42E1-4005-9D12-6889AFFD525C}">
      <x15:webExtensions xmlns:xm="http://schemas.microsoft.com/office/excel/2006/main">
        <x15:webExtension appRef="{EC6900CA-DC09-AF40-BC0E-0F55D7F5642E}">
          <xm:f>'Sensor Costs'!$C$2</xm:f>
        </x15:webExtension>
      </x15:webExtens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4555-7FD1-C642-BDA8-42F222CA89F9}">
  <dimension ref="C2:O10"/>
  <sheetViews>
    <sheetView topLeftCell="B1" zoomScale="156" workbookViewId="0">
      <selection activeCell="F10" sqref="F10:J10"/>
    </sheetView>
  </sheetViews>
  <sheetFormatPr baseColWidth="10" defaultRowHeight="12" x14ac:dyDescent="0.15"/>
  <cols>
    <col min="3" max="3" width="17" bestFit="1" customWidth="1"/>
    <col min="5" max="5" width="12.5" bestFit="1" customWidth="1"/>
    <col min="6" max="6" width="13.33203125" customWidth="1"/>
    <col min="7" max="7" width="8.33203125" customWidth="1"/>
    <col min="8" max="8" width="8.1640625" customWidth="1"/>
    <col min="10" max="10" width="17.6640625" customWidth="1"/>
    <col min="13" max="13" width="15.1640625" customWidth="1"/>
    <col min="14" max="14" width="14.83203125" bestFit="1" customWidth="1"/>
  </cols>
  <sheetData>
    <row r="2" spans="3:15" x14ac:dyDescent="0.15">
      <c r="E2" s="221" t="s">
        <v>240</v>
      </c>
      <c r="F2" s="85">
        <v>0.2</v>
      </c>
    </row>
    <row r="3" spans="3:15" x14ac:dyDescent="0.15">
      <c r="E3" s="221" t="s">
        <v>241</v>
      </c>
      <c r="F3" s="85">
        <v>0.21</v>
      </c>
    </row>
    <row r="4" spans="3:15" x14ac:dyDescent="0.15">
      <c r="E4" s="221" t="s">
        <v>234</v>
      </c>
      <c r="F4">
        <v>34</v>
      </c>
    </row>
    <row r="6" spans="3:15" x14ac:dyDescent="0.15"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</row>
    <row r="7" spans="3:15" ht="39" x14ac:dyDescent="0.15">
      <c r="C7" s="221"/>
      <c r="D7" s="221" t="s">
        <v>231</v>
      </c>
      <c r="E7" s="221" t="s">
        <v>232</v>
      </c>
      <c r="F7" s="222" t="s">
        <v>233</v>
      </c>
      <c r="G7" s="222" t="s">
        <v>235</v>
      </c>
      <c r="H7" s="222" t="s">
        <v>236</v>
      </c>
      <c r="I7" s="222" t="s">
        <v>237</v>
      </c>
      <c r="J7" s="222" t="s">
        <v>238</v>
      </c>
      <c r="K7" s="222" t="s">
        <v>239</v>
      </c>
      <c r="L7" s="222" t="s">
        <v>134</v>
      </c>
      <c r="M7" s="222" t="s">
        <v>242</v>
      </c>
      <c r="N7" s="222" t="s">
        <v>4</v>
      </c>
    </row>
    <row r="8" spans="3:15" ht="14" x14ac:dyDescent="0.15">
      <c r="C8" s="221" t="s">
        <v>229</v>
      </c>
      <c r="D8" s="94">
        <v>95</v>
      </c>
      <c r="E8" s="218">
        <v>20</v>
      </c>
      <c r="F8" s="94">
        <v>0</v>
      </c>
      <c r="G8" s="94">
        <v>0</v>
      </c>
      <c r="H8" s="94">
        <v>0</v>
      </c>
      <c r="I8" s="94">
        <v>0</v>
      </c>
      <c r="J8" s="94">
        <v>0</v>
      </c>
      <c r="K8" s="94">
        <v>0</v>
      </c>
      <c r="L8" s="94">
        <f>D8*F2</f>
        <v>19</v>
      </c>
      <c r="M8" s="94">
        <f>K8+J8+I8+H8+G8+F8</f>
        <v>0</v>
      </c>
      <c r="N8" s="223">
        <f>(D8+L8)*E8+M8</f>
        <v>2280</v>
      </c>
    </row>
    <row r="9" spans="3:15" x14ac:dyDescent="0.15">
      <c r="C9" s="219"/>
      <c r="D9" s="219"/>
      <c r="E9" s="220"/>
      <c r="F9" s="219"/>
      <c r="G9" s="219"/>
      <c r="H9" s="219"/>
      <c r="I9" s="219"/>
      <c r="J9" s="219"/>
      <c r="K9" s="219"/>
      <c r="L9" s="219"/>
      <c r="M9" s="219"/>
      <c r="N9" s="219"/>
      <c r="O9" s="94">
        <f>N8-N10</f>
        <v>155.7764705882355</v>
      </c>
    </row>
    <row r="10" spans="3:15" ht="14" x14ac:dyDescent="0.15">
      <c r="C10" s="221" t="s">
        <v>230</v>
      </c>
      <c r="D10" s="94">
        <v>74.5</v>
      </c>
      <c r="E10" s="218">
        <v>20</v>
      </c>
      <c r="F10" s="94">
        <f>3300/F4</f>
        <v>97.058823529411768</v>
      </c>
      <c r="G10" s="94">
        <f>1350/F4</f>
        <v>39.705882352941174</v>
      </c>
      <c r="H10" s="94">
        <f>2800/F4</f>
        <v>82.352941176470594</v>
      </c>
      <c r="I10" s="94">
        <v>65</v>
      </c>
      <c r="J10" s="94">
        <f>480/F4</f>
        <v>14.117647058823529</v>
      </c>
      <c r="K10" s="94">
        <f>785/F4</f>
        <v>23.088235294117649</v>
      </c>
      <c r="L10" s="94">
        <f>D10*F3</f>
        <v>15.645</v>
      </c>
      <c r="M10" s="94">
        <f>K10+J10+I10+H10+G10+F10</f>
        <v>321.3235294117647</v>
      </c>
      <c r="N10" s="223">
        <f>(D10+L10)*E10+M10</f>
        <v>2124.2235294117645</v>
      </c>
    </row>
  </sheetData>
  <conditionalFormatting sqref="O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71E1-4B8A-E747-A5AD-0F76BB5AAFC6}">
  <dimension ref="B2:F17"/>
  <sheetViews>
    <sheetView zoomScale="159" workbookViewId="0">
      <selection activeCell="E15" sqref="E15"/>
    </sheetView>
  </sheetViews>
  <sheetFormatPr baseColWidth="10" defaultRowHeight="12" x14ac:dyDescent="0.15"/>
  <cols>
    <col min="2" max="2" width="11.5" customWidth="1"/>
    <col min="3" max="3" width="17.1640625" bestFit="1" customWidth="1"/>
    <col min="4" max="4" width="20.33203125" bestFit="1" customWidth="1"/>
    <col min="5" max="5" width="37.6640625" customWidth="1"/>
    <col min="6" max="6" width="20.33203125" customWidth="1"/>
  </cols>
  <sheetData>
    <row r="2" spans="2:6" x14ac:dyDescent="0.15">
      <c r="C2" t="s">
        <v>212</v>
      </c>
      <c r="D2">
        <v>1.28</v>
      </c>
    </row>
    <row r="3" spans="2:6" x14ac:dyDescent="0.15">
      <c r="C3" t="s">
        <v>133</v>
      </c>
      <c r="D3">
        <v>1.087</v>
      </c>
    </row>
    <row r="4" spans="2:6" x14ac:dyDescent="0.15">
      <c r="C4" t="s">
        <v>134</v>
      </c>
      <c r="D4" s="85">
        <v>0.2</v>
      </c>
    </row>
    <row r="5" spans="2:6" x14ac:dyDescent="0.15">
      <c r="C5" t="s">
        <v>262</v>
      </c>
      <c r="D5">
        <v>35</v>
      </c>
    </row>
    <row r="7" spans="2:6" ht="12" customHeight="1" x14ac:dyDescent="0.15">
      <c r="B7" s="251" t="s">
        <v>274</v>
      </c>
      <c r="C7" s="251"/>
      <c r="D7" s="251"/>
      <c r="E7" s="221"/>
      <c r="F7" s="221"/>
    </row>
    <row r="8" spans="2:6" ht="13" x14ac:dyDescent="0.15">
      <c r="B8" s="222" t="s">
        <v>260</v>
      </c>
      <c r="C8" s="222" t="s">
        <v>256</v>
      </c>
      <c r="D8" s="222" t="s">
        <v>259</v>
      </c>
      <c r="E8" s="222" t="s">
        <v>258</v>
      </c>
      <c r="F8" s="222" t="s">
        <v>273</v>
      </c>
    </row>
    <row r="9" spans="2:6" ht="13" x14ac:dyDescent="0.15">
      <c r="B9" s="228">
        <v>1</v>
      </c>
      <c r="C9" s="228" t="s">
        <v>257</v>
      </c>
      <c r="D9" s="229">
        <f>20/D5</f>
        <v>0.5714285714285714</v>
      </c>
      <c r="E9" s="228" t="s">
        <v>269</v>
      </c>
      <c r="F9" s="229">
        <f>1*12</f>
        <v>12</v>
      </c>
    </row>
    <row r="10" spans="2:6" ht="13" x14ac:dyDescent="0.15">
      <c r="B10" s="228">
        <v>2</v>
      </c>
      <c r="C10" s="228" t="s">
        <v>261</v>
      </c>
      <c r="D10" s="229">
        <v>750</v>
      </c>
      <c r="E10" s="228" t="s">
        <v>270</v>
      </c>
      <c r="F10" s="229">
        <f>D10*12/250</f>
        <v>36</v>
      </c>
    </row>
    <row r="11" spans="2:6" ht="26" x14ac:dyDescent="0.15">
      <c r="B11" s="228">
        <v>3</v>
      </c>
      <c r="C11" s="228" t="s">
        <v>263</v>
      </c>
      <c r="D11" s="230">
        <f>250*2/D5</f>
        <v>14.285714285714286</v>
      </c>
      <c r="E11" s="228" t="s">
        <v>264</v>
      </c>
      <c r="F11" s="230">
        <v>25</v>
      </c>
    </row>
    <row r="12" spans="2:6" ht="13" x14ac:dyDescent="0.15">
      <c r="B12" s="228">
        <v>4</v>
      </c>
      <c r="C12" s="228" t="s">
        <v>265</v>
      </c>
      <c r="D12" s="229">
        <f>4500/D5</f>
        <v>128.57142857142858</v>
      </c>
      <c r="E12" s="228" t="s">
        <v>276</v>
      </c>
      <c r="F12" s="229">
        <v>175</v>
      </c>
    </row>
    <row r="13" spans="2:6" ht="13" x14ac:dyDescent="0.15">
      <c r="B13" s="228">
        <v>5</v>
      </c>
      <c r="C13" s="228" t="s">
        <v>266</v>
      </c>
      <c r="D13" s="229">
        <f>10 + 2000 / D5</f>
        <v>67.142857142857139</v>
      </c>
      <c r="E13" s="228" t="s">
        <v>271</v>
      </c>
      <c r="F13" s="229">
        <f>10 * 12 + 2000 / D5 * 12</f>
        <v>805.71428571428578</v>
      </c>
    </row>
    <row r="14" spans="2:6" ht="65" x14ac:dyDescent="0.15">
      <c r="B14" s="228">
        <v>6</v>
      </c>
      <c r="C14" s="228" t="s">
        <v>267</v>
      </c>
      <c r="D14" s="230">
        <f xml:space="preserve"> (2500 + 2500) / D5</f>
        <v>142.85714285714286</v>
      </c>
      <c r="E14" s="228" t="s">
        <v>275</v>
      </c>
      <c r="F14" s="229">
        <f>150</f>
        <v>150</v>
      </c>
    </row>
    <row r="15" spans="2:6" ht="26" x14ac:dyDescent="0.15">
      <c r="B15" s="228">
        <v>7</v>
      </c>
      <c r="C15" s="228" t="s">
        <v>268</v>
      </c>
      <c r="D15" s="229">
        <f xml:space="preserve"> 2500 / D5</f>
        <v>71.428571428571431</v>
      </c>
      <c r="E15" s="228" t="s">
        <v>272</v>
      </c>
      <c r="F15" s="229">
        <v>75</v>
      </c>
    </row>
    <row r="16" spans="2:6" x14ac:dyDescent="0.15">
      <c r="B16" s="228"/>
      <c r="C16" s="228"/>
      <c r="D16" s="228"/>
      <c r="E16" s="228"/>
      <c r="F16" s="228"/>
    </row>
    <row r="17" spans="2:6" x14ac:dyDescent="0.15">
      <c r="B17" s="228"/>
      <c r="C17" s="228"/>
      <c r="D17" s="228"/>
      <c r="E17" s="228"/>
      <c r="F17" s="229"/>
    </row>
  </sheetData>
  <mergeCells count="1">
    <mergeCell ref="B7:D7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AFC0-A5FD-514B-8FC9-81652D5DB65E}">
  <dimension ref="B5:M28"/>
  <sheetViews>
    <sheetView topLeftCell="A11" zoomScale="187" workbookViewId="0">
      <selection activeCell="L28" sqref="L28"/>
    </sheetView>
  </sheetViews>
  <sheetFormatPr baseColWidth="10" defaultRowHeight="12" x14ac:dyDescent="0.15"/>
  <cols>
    <col min="3" max="3" width="13.1640625" bestFit="1" customWidth="1"/>
    <col min="4" max="4" width="13.5" bestFit="1" customWidth="1"/>
    <col min="5" max="5" width="20.5" bestFit="1" customWidth="1"/>
    <col min="6" max="9" width="13.5" customWidth="1"/>
  </cols>
  <sheetData>
    <row r="5" spans="2:9" x14ac:dyDescent="0.15">
      <c r="B5" s="221" t="s">
        <v>282</v>
      </c>
    </row>
    <row r="6" spans="2:9" x14ac:dyDescent="0.15">
      <c r="B6" s="221" t="s">
        <v>260</v>
      </c>
      <c r="C6" s="221" t="s">
        <v>283</v>
      </c>
      <c r="D6" s="221" t="s">
        <v>284</v>
      </c>
      <c r="F6" s="221"/>
      <c r="G6" s="221"/>
      <c r="H6" s="221"/>
      <c r="I6" s="221"/>
    </row>
    <row r="7" spans="2:9" x14ac:dyDescent="0.15">
      <c r="B7">
        <v>1</v>
      </c>
      <c r="C7" t="s">
        <v>286</v>
      </c>
      <c r="D7" s="94">
        <v>20</v>
      </c>
      <c r="F7" s="94"/>
      <c r="G7" s="94"/>
      <c r="H7" s="94"/>
      <c r="I7" s="94"/>
    </row>
    <row r="8" spans="2:9" x14ac:dyDescent="0.15">
      <c r="B8">
        <v>2</v>
      </c>
      <c r="C8" t="s">
        <v>285</v>
      </c>
      <c r="D8" s="94">
        <v>5</v>
      </c>
      <c r="F8" s="94"/>
      <c r="G8" s="94"/>
      <c r="H8" s="94"/>
      <c r="I8" s="94"/>
    </row>
    <row r="9" spans="2:9" x14ac:dyDescent="0.15">
      <c r="B9">
        <v>3</v>
      </c>
      <c r="C9" t="s">
        <v>287</v>
      </c>
      <c r="D9" s="94">
        <v>15</v>
      </c>
      <c r="F9" s="94"/>
      <c r="G9" s="94"/>
      <c r="H9" s="94"/>
      <c r="I9" s="94"/>
    </row>
    <row r="10" spans="2:9" x14ac:dyDescent="0.15">
      <c r="B10">
        <v>4</v>
      </c>
      <c r="C10" t="s">
        <v>289</v>
      </c>
      <c r="D10" s="94">
        <v>10</v>
      </c>
      <c r="F10" s="94"/>
      <c r="G10" s="94"/>
      <c r="H10" s="94"/>
      <c r="I10" s="94"/>
    </row>
    <row r="11" spans="2:9" x14ac:dyDescent="0.15">
      <c r="B11">
        <v>5</v>
      </c>
      <c r="C11" t="s">
        <v>288</v>
      </c>
      <c r="D11" s="94">
        <v>115</v>
      </c>
      <c r="F11" s="94"/>
      <c r="G11" s="94"/>
      <c r="H11" s="94"/>
      <c r="I11" s="94"/>
    </row>
    <row r="12" spans="2:9" x14ac:dyDescent="0.15">
      <c r="B12">
        <v>6</v>
      </c>
      <c r="C12" t="s">
        <v>302</v>
      </c>
      <c r="D12" s="94">
        <v>1.5</v>
      </c>
      <c r="F12" s="94"/>
      <c r="G12" s="94"/>
      <c r="H12" s="94"/>
      <c r="I12" s="94"/>
    </row>
    <row r="13" spans="2:9" x14ac:dyDescent="0.15">
      <c r="B13">
        <v>7</v>
      </c>
      <c r="C13" t="s">
        <v>303</v>
      </c>
      <c r="D13" s="94">
        <v>3</v>
      </c>
      <c r="F13" s="94"/>
      <c r="G13" s="94"/>
      <c r="H13" s="94"/>
      <c r="I13" s="94"/>
    </row>
    <row r="14" spans="2:9" x14ac:dyDescent="0.15">
      <c r="C14" s="221" t="s">
        <v>77</v>
      </c>
      <c r="D14" s="94">
        <f>SUM(D7:D13)</f>
        <v>169.5</v>
      </c>
      <c r="F14" s="94"/>
      <c r="G14" s="94"/>
      <c r="H14" s="94"/>
      <c r="I14" s="94"/>
    </row>
    <row r="17" spans="2:13" x14ac:dyDescent="0.15">
      <c r="B17" s="221" t="s">
        <v>290</v>
      </c>
      <c r="K17" s="221" t="s">
        <v>295</v>
      </c>
    </row>
    <row r="18" spans="2:13" x14ac:dyDescent="0.15">
      <c r="B18" s="221" t="s">
        <v>260</v>
      </c>
      <c r="C18" s="221" t="s">
        <v>283</v>
      </c>
      <c r="D18" s="221" t="s">
        <v>284</v>
      </c>
      <c r="F18" s="221"/>
      <c r="G18" s="221"/>
      <c r="H18" s="221"/>
      <c r="I18" s="221"/>
      <c r="K18">
        <v>1</v>
      </c>
      <c r="L18" t="s">
        <v>287</v>
      </c>
      <c r="M18" s="94">
        <v>15</v>
      </c>
    </row>
    <row r="19" spans="2:13" ht="39" x14ac:dyDescent="0.15">
      <c r="B19">
        <v>1</v>
      </c>
      <c r="C19" t="s">
        <v>291</v>
      </c>
      <c r="D19" s="94">
        <v>110</v>
      </c>
      <c r="F19" s="228" t="s">
        <v>304</v>
      </c>
      <c r="G19" s="231">
        <f>0.2</f>
        <v>0.2</v>
      </c>
      <c r="H19" s="94"/>
      <c r="I19" s="94"/>
      <c r="K19">
        <v>2</v>
      </c>
      <c r="L19" t="s">
        <v>296</v>
      </c>
      <c r="M19" s="94">
        <v>110</v>
      </c>
    </row>
    <row r="20" spans="2:13" x14ac:dyDescent="0.15">
      <c r="B20">
        <v>2</v>
      </c>
      <c r="C20" t="s">
        <v>292</v>
      </c>
      <c r="D20" s="94">
        <v>90</v>
      </c>
      <c r="F20" s="94"/>
      <c r="G20" s="94"/>
      <c r="H20" s="94"/>
      <c r="I20" s="94"/>
    </row>
    <row r="21" spans="2:13" x14ac:dyDescent="0.15">
      <c r="C21" s="221" t="s">
        <v>77</v>
      </c>
      <c r="D21" s="94">
        <f>SUM(D19:D20)</f>
        <v>200</v>
      </c>
      <c r="F21" s="94"/>
      <c r="G21" s="94"/>
      <c r="H21" s="94"/>
      <c r="I21" s="94"/>
    </row>
    <row r="23" spans="2:13" ht="39" x14ac:dyDescent="0.15">
      <c r="C23" s="221" t="s">
        <v>293</v>
      </c>
      <c r="D23" s="221" t="s">
        <v>297</v>
      </c>
      <c r="E23" s="221" t="s">
        <v>294</v>
      </c>
      <c r="F23" s="222" t="s">
        <v>298</v>
      </c>
      <c r="G23" s="222" t="s">
        <v>299</v>
      </c>
      <c r="H23" s="222" t="s">
        <v>300</v>
      </c>
      <c r="I23" s="222" t="s">
        <v>301</v>
      </c>
    </row>
    <row r="24" spans="2:13" x14ac:dyDescent="0.15">
      <c r="B24" s="221" t="s">
        <v>277</v>
      </c>
      <c r="C24" s="94">
        <f>D14</f>
        <v>169.5</v>
      </c>
      <c r="D24" s="94">
        <v>450</v>
      </c>
      <c r="E24" s="231">
        <f>D24/C24</f>
        <v>2.6548672566371683</v>
      </c>
      <c r="F24" s="94">
        <f>M18*(1-$G$19)</f>
        <v>12</v>
      </c>
      <c r="G24" s="94">
        <f>C24-F24</f>
        <v>157.5</v>
      </c>
      <c r="H24" s="94">
        <v>450</v>
      </c>
      <c r="I24" s="94">
        <v>450</v>
      </c>
      <c r="J24" s="231">
        <f>I24/G24</f>
        <v>2.8571428571428572</v>
      </c>
    </row>
    <row r="25" spans="2:13" x14ac:dyDescent="0.15">
      <c r="B25" s="221" t="s">
        <v>278</v>
      </c>
      <c r="C25" s="94">
        <f>D14+D21*1</f>
        <v>369.5</v>
      </c>
      <c r="D25" s="94">
        <f>D24+350</f>
        <v>800</v>
      </c>
      <c r="E25" s="231">
        <f>D25/C25</f>
        <v>2.1650879566982408</v>
      </c>
      <c r="F25" s="94">
        <f>(M18+M19)*(1-$G$19)</f>
        <v>100</v>
      </c>
      <c r="G25" s="94">
        <f t="shared" ref="G25:G28" si="0">C25-F25</f>
        <v>269.5</v>
      </c>
      <c r="H25" s="94">
        <f>D25-F25</f>
        <v>700</v>
      </c>
      <c r="I25" s="94">
        <v>750</v>
      </c>
      <c r="J25" s="231">
        <f t="shared" ref="J25:J28" si="1">I25/G25</f>
        <v>2.7829313543599259</v>
      </c>
    </row>
    <row r="26" spans="2:13" x14ac:dyDescent="0.15">
      <c r="B26" s="221" t="s">
        <v>279</v>
      </c>
      <c r="C26" s="94">
        <f>D14+D21*2</f>
        <v>569.5</v>
      </c>
      <c r="D26" s="94">
        <f>D25+350</f>
        <v>1150</v>
      </c>
      <c r="E26" s="231">
        <f>D26/C26</f>
        <v>2.0193151887620719</v>
      </c>
      <c r="F26" s="94">
        <f>(M18+M19*2)*(1-$G$19)</f>
        <v>188</v>
      </c>
      <c r="G26" s="94">
        <f t="shared" si="0"/>
        <v>381.5</v>
      </c>
      <c r="H26" s="94">
        <f>D26-F26</f>
        <v>962</v>
      </c>
      <c r="I26" s="94">
        <v>1050</v>
      </c>
      <c r="J26" s="231">
        <f t="shared" si="1"/>
        <v>2.7522935779816513</v>
      </c>
    </row>
    <row r="27" spans="2:13" x14ac:dyDescent="0.15">
      <c r="B27" s="221" t="s">
        <v>280</v>
      </c>
      <c r="C27" s="94">
        <f>D14+D21*3</f>
        <v>769.5</v>
      </c>
      <c r="D27" s="94">
        <f>D26+350</f>
        <v>1500</v>
      </c>
      <c r="E27" s="231">
        <f>D27/C27</f>
        <v>1.9493177387914229</v>
      </c>
      <c r="F27" s="94">
        <f>(M18+M19*3)*(1-$G$19)</f>
        <v>276</v>
      </c>
      <c r="G27" s="94">
        <f t="shared" si="0"/>
        <v>493.5</v>
      </c>
      <c r="H27" s="94">
        <f t="shared" ref="H27:H28" si="2">D27-F27</f>
        <v>1224</v>
      </c>
      <c r="I27" s="94">
        <v>1350</v>
      </c>
      <c r="J27" s="231">
        <f t="shared" si="1"/>
        <v>2.735562310030395</v>
      </c>
    </row>
    <row r="28" spans="2:13" x14ac:dyDescent="0.15">
      <c r="B28" s="221" t="s">
        <v>281</v>
      </c>
      <c r="C28" s="94">
        <f>D14+D21*4</f>
        <v>969.5</v>
      </c>
      <c r="D28" s="94">
        <f>D27+350</f>
        <v>1850</v>
      </c>
      <c r="E28" s="231">
        <f>D28/C28</f>
        <v>1.9082001031459515</v>
      </c>
      <c r="F28" s="94">
        <f>(M18+M19*4)*(1-$G$19)</f>
        <v>364</v>
      </c>
      <c r="G28" s="94">
        <f t="shared" si="0"/>
        <v>605.5</v>
      </c>
      <c r="H28" s="94">
        <f t="shared" si="2"/>
        <v>1486</v>
      </c>
      <c r="I28" s="94">
        <v>1650</v>
      </c>
      <c r="J28" s="231">
        <f t="shared" si="1"/>
        <v>2.7250206440957885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5DD3-89E5-9A4F-B1B7-37CFF9B39AEF}">
  <dimension ref="B2:P33"/>
  <sheetViews>
    <sheetView tabSelected="1" topLeftCell="B1" zoomScale="143" workbookViewId="0">
      <selection activeCell="F30" sqref="F30"/>
    </sheetView>
  </sheetViews>
  <sheetFormatPr baseColWidth="10" defaultRowHeight="12" x14ac:dyDescent="0.15"/>
  <cols>
    <col min="1" max="1" width="10.83203125" style="188"/>
    <col min="2" max="3" width="45.1640625" style="188" customWidth="1"/>
    <col min="4" max="4" width="26.83203125" style="188" customWidth="1"/>
    <col min="5" max="5" width="23.6640625" style="188" customWidth="1"/>
    <col min="6" max="6" width="15.5" style="188" bestFit="1" customWidth="1"/>
    <col min="7" max="7" width="21.6640625" style="188" bestFit="1" customWidth="1"/>
    <col min="8" max="9" width="15.5" style="188" customWidth="1"/>
    <col min="10" max="10" width="33.6640625" style="188" bestFit="1" customWidth="1"/>
    <col min="11" max="11" width="10.33203125" style="188" bestFit="1" customWidth="1"/>
    <col min="12" max="12" width="10.83203125" style="188"/>
    <col min="13" max="13" width="17.83203125" style="188" bestFit="1" customWidth="1"/>
    <col min="14" max="16384" width="10.83203125" style="188"/>
  </cols>
  <sheetData>
    <row r="2" spans="2:16" x14ac:dyDescent="0.15">
      <c r="J2" s="204" t="s">
        <v>184</v>
      </c>
      <c r="M2" s="210" t="s">
        <v>219</v>
      </c>
      <c r="N2" s="188">
        <v>36</v>
      </c>
    </row>
    <row r="3" spans="2:16" ht="16" x14ac:dyDescent="0.2">
      <c r="B3" s="190" t="s">
        <v>158</v>
      </c>
      <c r="C3" s="190" t="s">
        <v>243</v>
      </c>
      <c r="D3" s="190">
        <v>10</v>
      </c>
      <c r="E3" s="190" t="s">
        <v>244</v>
      </c>
      <c r="F3" s="190">
        <v>10</v>
      </c>
      <c r="G3" s="190" t="s">
        <v>245</v>
      </c>
      <c r="H3" s="190">
        <v>10</v>
      </c>
      <c r="I3" s="212"/>
      <c r="J3" s="190" t="s">
        <v>158</v>
      </c>
      <c r="K3" s="190">
        <v>10</v>
      </c>
      <c r="M3" s="210" t="s">
        <v>220</v>
      </c>
      <c r="N3" s="188">
        <v>34</v>
      </c>
      <c r="O3" s="204"/>
      <c r="P3" s="204"/>
    </row>
    <row r="4" spans="2:16" ht="15" x14ac:dyDescent="0.2">
      <c r="B4" s="188" t="s">
        <v>171</v>
      </c>
      <c r="C4" s="224">
        <f>'Total Costs'!B12</f>
        <v>356.82000000000005</v>
      </c>
      <c r="D4" s="192">
        <f>Models!C8</f>
        <v>1784.1000000000004</v>
      </c>
      <c r="E4" s="225">
        <f>(D4)/C4</f>
        <v>5</v>
      </c>
      <c r="F4" s="207">
        <v>2250</v>
      </c>
      <c r="G4" s="226">
        <f>F4/C4</f>
        <v>6.3057003531192191</v>
      </c>
      <c r="H4" s="211">
        <f>$N$3*F4</f>
        <v>76500</v>
      </c>
      <c r="I4" s="213"/>
      <c r="J4" s="188" t="s">
        <v>203</v>
      </c>
      <c r="K4" s="192">
        <f>F4+'Sensor Costs'!G81</f>
        <v>3540.7080000000001</v>
      </c>
      <c r="L4" s="188">
        <v>3150</v>
      </c>
      <c r="P4" s="193"/>
    </row>
    <row r="5" spans="2:16" ht="15" x14ac:dyDescent="0.2">
      <c r="B5" s="188" t="s">
        <v>248</v>
      </c>
      <c r="C5" s="224">
        <f>C4+SUM('Sensor Costs'!F26,'Sensor Costs'!F27,'Sensor Costs'!F33)</f>
        <v>586.45680000000016</v>
      </c>
      <c r="D5" s="192">
        <f>D4+SUM('Sensor Costs'!G26,'Sensor Costs'!G27,'Sensor Costs'!G33)</f>
        <v>2358.1920000000005</v>
      </c>
      <c r="E5" s="225">
        <f t="shared" ref="E5:E8" si="0">(D5)/C5</f>
        <v>4.0210839059245282</v>
      </c>
      <c r="F5" s="207">
        <v>3000</v>
      </c>
      <c r="G5" s="226">
        <f t="shared" ref="G5:G8" si="1">F5/C5</f>
        <v>5.1154663054465379</v>
      </c>
      <c r="H5" s="211">
        <f t="shared" ref="H5:H8" si="2">$N$3*F5</f>
        <v>102000</v>
      </c>
      <c r="I5" s="213"/>
      <c r="J5" s="188" t="s">
        <v>191</v>
      </c>
      <c r="K5" s="192">
        <f>F4+'Sensor Costs'!G116+'Sensor Costs'!G68+'Sensor Costs'!G67</f>
        <v>2744.5049999999997</v>
      </c>
      <c r="L5" s="188">
        <v>2750</v>
      </c>
      <c r="P5" s="193"/>
    </row>
    <row r="6" spans="2:16" ht="15" x14ac:dyDescent="0.2">
      <c r="B6" s="188" t="s">
        <v>247</v>
      </c>
      <c r="C6" s="224">
        <f>C5+2*SUM('Sensor Costs'!F27,'Sensor Costs'!F28,'Sensor Costs'!F34)</f>
        <v>955.42080000000021</v>
      </c>
      <c r="D6" s="192">
        <f>Prices!D4+2*SUM('Sensor Costs'!G26,'Sensor Costs'!G27,'Sensor Costs'!G33)</f>
        <v>2932.2840000000006</v>
      </c>
      <c r="E6" s="225">
        <f t="shared" si="0"/>
        <v>3.0691021170985602</v>
      </c>
      <c r="F6" s="207">
        <v>3500</v>
      </c>
      <c r="G6" s="226">
        <f t="shared" si="1"/>
        <v>3.663307309198208</v>
      </c>
      <c r="H6" s="211">
        <f t="shared" si="2"/>
        <v>119000</v>
      </c>
      <c r="I6" s="213"/>
      <c r="J6" s="188" t="s">
        <v>186</v>
      </c>
      <c r="K6" s="192">
        <f>F4+'Sensor Costs'!G116+'Sensor Costs'!G68+'Sensor Costs'!G67+'Sensor Costs'!G81</f>
        <v>4035.2129999999997</v>
      </c>
      <c r="L6" s="188">
        <v>3400</v>
      </c>
      <c r="P6" s="193"/>
    </row>
    <row r="7" spans="2:16" ht="15" x14ac:dyDescent="0.2">
      <c r="B7" s="188" t="s">
        <v>246</v>
      </c>
      <c r="C7" s="224">
        <f>C4+SUM('Sensor Costs'!$E$49,'Sensor Costs'!$E$50,'Sensor Costs'!$E$53,'Sensor Costs'!$E$54,'Sensor Costs'!$E$54)</f>
        <v>598.60020000000009</v>
      </c>
      <c r="D7" s="192">
        <v>2100</v>
      </c>
      <c r="E7" s="225">
        <f t="shared" si="0"/>
        <v>3.5081845946593395</v>
      </c>
      <c r="F7" s="207"/>
      <c r="G7" s="226"/>
      <c r="H7" s="211"/>
      <c r="I7" s="213"/>
      <c r="K7" s="192"/>
      <c r="P7" s="193"/>
    </row>
    <row r="8" spans="2:16" ht="15" x14ac:dyDescent="0.2">
      <c r="B8" s="188" t="s">
        <v>249</v>
      </c>
      <c r="C8" s="224">
        <f>C6+3*SUM('Sensor Costs'!F28,'Sensor Costs'!F29,'Sensor Costs'!F38)</f>
        <v>1443.7320000000002</v>
      </c>
      <c r="D8" s="192">
        <f>Prices!D4+3*SUM('Sensor Costs'!G26,'Sensor Costs'!G27,'Sensor Costs'!G33)</f>
        <v>3506.3760000000007</v>
      </c>
      <c r="E8" s="225">
        <f t="shared" si="0"/>
        <v>2.4286889810574261</v>
      </c>
      <c r="F8" s="207">
        <v>4250</v>
      </c>
      <c r="G8" s="226">
        <f t="shared" si="1"/>
        <v>2.9437596451418959</v>
      </c>
      <c r="H8" s="211">
        <f t="shared" si="2"/>
        <v>144500</v>
      </c>
      <c r="I8" s="213"/>
      <c r="K8" s="192"/>
    </row>
    <row r="9" spans="2:16" ht="15" x14ac:dyDescent="0.2">
      <c r="B9" s="188" t="s">
        <v>250</v>
      </c>
      <c r="C9" s="224">
        <f>C8+4*SUM('Sensor Costs'!F29,'Sensor Costs'!F30,'Sensor Costs'!F39)</f>
        <v>2222.1528000000003</v>
      </c>
      <c r="D9" s="192">
        <f>D4+4*SUM('Sensor Costs'!G26,'Sensor Costs'!G27,'Sensor Costs'!G33)</f>
        <v>4080.4680000000008</v>
      </c>
      <c r="E9" s="225">
        <f>(D9)/C9</f>
        <v>1.836267965011227</v>
      </c>
      <c r="F9" s="207">
        <v>4750</v>
      </c>
      <c r="G9" s="226">
        <f>F9/C9</f>
        <v>2.1375667775861316</v>
      </c>
      <c r="H9" s="211">
        <f>$N$3*F9</f>
        <v>161500</v>
      </c>
      <c r="I9" s="213"/>
      <c r="K9" s="192"/>
    </row>
    <row r="10" spans="2:16" ht="15" x14ac:dyDescent="0.2">
      <c r="B10" s="188" t="s">
        <v>251</v>
      </c>
      <c r="C10" s="224">
        <f>C4+2*SUM('Sensor Costs'!$E$49,'Sensor Costs'!$E$50,'Sensor Costs'!$E$53,'Sensor Costs'!$E$54,'Sensor Costs'!$E$54)</f>
        <v>840.38040000000001</v>
      </c>
      <c r="D10" s="192">
        <v>3000</v>
      </c>
      <c r="E10" s="225">
        <f>(D10)/C11</f>
        <v>1.5975638301835653</v>
      </c>
      <c r="F10" s="207"/>
      <c r="G10" s="226"/>
      <c r="H10" s="211"/>
      <c r="I10" s="213"/>
      <c r="J10" s="191"/>
      <c r="K10" s="191"/>
    </row>
    <row r="11" spans="2:16" ht="15" x14ac:dyDescent="0.2">
      <c r="B11" s="188" t="s">
        <v>307</v>
      </c>
      <c r="C11" s="224">
        <f>C4+SUM('Sensor Costs'!F36,'Sensor Costs'!F14,'Sensor Costs'!F16,'Sensor Costs'!F15,'Sensor Costs'!F16,'Sensor Costs'!F17,'Sensor Costs'!F18,'Sensor Costs'!F19,'Sensor Costs'!F19,'Sensor Costs'!F22,'Sensor Costs'!F22,'Sensor Costs'!F22,'Sensor Costs'!F22)+'Sensor Costs'!G137</f>
        <v>1877.8592400000007</v>
      </c>
      <c r="D11" s="192">
        <f>C11*3</f>
        <v>5633.577720000002</v>
      </c>
      <c r="E11" s="225"/>
      <c r="F11" s="207"/>
      <c r="G11" s="226"/>
      <c r="H11" s="211"/>
      <c r="I11" s="213"/>
      <c r="J11" s="191"/>
      <c r="K11" s="191"/>
    </row>
    <row r="12" spans="2:16" ht="16" x14ac:dyDescent="0.2">
      <c r="B12" s="191"/>
      <c r="C12" s="191"/>
      <c r="D12" s="191"/>
      <c r="E12" s="191"/>
      <c r="J12" s="188" t="s">
        <v>157</v>
      </c>
      <c r="K12" s="208">
        <v>500</v>
      </c>
    </row>
    <row r="13" spans="2:16" ht="16" x14ac:dyDescent="0.2">
      <c r="B13" s="188" t="s">
        <v>157</v>
      </c>
      <c r="D13" s="189">
        <v>550</v>
      </c>
      <c r="E13" s="189"/>
      <c r="J13" s="188" t="s">
        <v>192</v>
      </c>
      <c r="K13" s="208">
        <v>1250</v>
      </c>
    </row>
    <row r="14" spans="2:16" ht="16" x14ac:dyDescent="0.2">
      <c r="B14" s="188" t="s">
        <v>204</v>
      </c>
      <c r="H14" s="188" t="s">
        <v>169</v>
      </c>
      <c r="J14" s="188" t="s">
        <v>193</v>
      </c>
      <c r="K14" s="208">
        <v>900</v>
      </c>
    </row>
    <row r="15" spans="2:16" ht="15" x14ac:dyDescent="0.2">
      <c r="B15" s="188" t="s">
        <v>205</v>
      </c>
      <c r="J15" s="188" t="s">
        <v>195</v>
      </c>
      <c r="K15" s="189">
        <v>750</v>
      </c>
    </row>
    <row r="16" spans="2:16" ht="15" x14ac:dyDescent="0.2">
      <c r="B16" s="188" t="s">
        <v>206</v>
      </c>
      <c r="J16" s="188" t="s">
        <v>190</v>
      </c>
      <c r="K16" s="189">
        <v>250</v>
      </c>
    </row>
    <row r="18" spans="2:12" ht="16" x14ac:dyDescent="0.2">
      <c r="B18" s="190" t="s">
        <v>156</v>
      </c>
      <c r="C18" s="190"/>
      <c r="D18" s="190">
        <v>10</v>
      </c>
      <c r="E18" s="190"/>
      <c r="J18" s="190" t="s">
        <v>156</v>
      </c>
      <c r="K18" s="190">
        <v>10</v>
      </c>
    </row>
    <row r="19" spans="2:12" ht="15" x14ac:dyDescent="0.2">
      <c r="B19" s="188" t="s">
        <v>171</v>
      </c>
      <c r="C19" s="224">
        <v>441.52</v>
      </c>
      <c r="D19" s="189">
        <f>F4/18</f>
        <v>125</v>
      </c>
      <c r="E19" s="189"/>
      <c r="F19" s="214">
        <v>125</v>
      </c>
      <c r="G19" s="214"/>
      <c r="H19" s="215">
        <f>F19*$N$2</f>
        <v>4500</v>
      </c>
      <c r="J19" s="188" t="s">
        <v>187</v>
      </c>
      <c r="K19" s="189">
        <v>175</v>
      </c>
    </row>
    <row r="20" spans="2:12" ht="15" x14ac:dyDescent="0.2">
      <c r="B20" s="188" t="s">
        <v>248</v>
      </c>
      <c r="C20" s="224">
        <v>666.39855999999997</v>
      </c>
      <c r="D20" s="189">
        <f>F5/18</f>
        <v>166.66666666666666</v>
      </c>
      <c r="E20" s="189"/>
      <c r="F20" s="214">
        <v>175</v>
      </c>
      <c r="G20" s="214"/>
      <c r="H20" s="215">
        <f t="shared" ref="H20:H23" si="3">F20*$N$2</f>
        <v>6300</v>
      </c>
      <c r="J20" s="188" t="s">
        <v>186</v>
      </c>
      <c r="K20" s="189">
        <f>K6/18</f>
        <v>224.17849999999999</v>
      </c>
    </row>
    <row r="21" spans="2:12" ht="15" x14ac:dyDescent="0.2">
      <c r="B21" s="188" t="s">
        <v>247</v>
      </c>
      <c r="C21" s="224">
        <v>1027.7173599999999</v>
      </c>
      <c r="D21" s="189">
        <f>F6/18</f>
        <v>194.44444444444446</v>
      </c>
      <c r="E21" s="189"/>
      <c r="F21" s="214">
        <v>200</v>
      </c>
      <c r="G21" s="214"/>
      <c r="H21" s="215">
        <f t="shared" si="3"/>
        <v>7200</v>
      </c>
      <c r="J21" s="188" t="s">
        <v>185</v>
      </c>
      <c r="K21" s="189">
        <v>300</v>
      </c>
    </row>
    <row r="22" spans="2:12" ht="15" x14ac:dyDescent="0.2">
      <c r="B22" s="188" t="s">
        <v>246</v>
      </c>
      <c r="C22" s="224">
        <v>678.29034000000001</v>
      </c>
      <c r="D22" s="189">
        <f>F8/18</f>
        <v>236.11111111111111</v>
      </c>
      <c r="E22" s="189"/>
      <c r="F22" s="214">
        <v>225</v>
      </c>
      <c r="G22" s="214"/>
      <c r="H22" s="215">
        <f t="shared" si="3"/>
        <v>8100</v>
      </c>
      <c r="K22" s="189"/>
    </row>
    <row r="23" spans="2:12" ht="15" x14ac:dyDescent="0.2">
      <c r="B23" s="188" t="s">
        <v>249</v>
      </c>
      <c r="C23" s="224">
        <v>1505.9103999999998</v>
      </c>
      <c r="D23" s="189">
        <f>F9/18</f>
        <v>263.88888888888891</v>
      </c>
      <c r="E23" s="189"/>
      <c r="F23" s="214">
        <v>250</v>
      </c>
      <c r="G23" s="214"/>
      <c r="H23" s="215">
        <f t="shared" si="3"/>
        <v>9000</v>
      </c>
      <c r="J23" s="191"/>
      <c r="K23" s="191"/>
    </row>
    <row r="24" spans="2:12" ht="15" x14ac:dyDescent="0.2">
      <c r="B24" s="188" t="s">
        <v>250</v>
      </c>
      <c r="C24" s="224">
        <v>2268.2017599999999</v>
      </c>
      <c r="H24" s="193"/>
      <c r="J24" s="188" t="s">
        <v>188</v>
      </c>
      <c r="K24" s="189" t="s">
        <v>189</v>
      </c>
    </row>
    <row r="25" spans="2:12" x14ac:dyDescent="0.15">
      <c r="B25" s="188" t="s">
        <v>251</v>
      </c>
      <c r="C25" s="224">
        <v>915.06067999999993</v>
      </c>
    </row>
    <row r="26" spans="2:12" x14ac:dyDescent="0.15">
      <c r="B26" s="188" t="s">
        <v>204</v>
      </c>
    </row>
    <row r="29" spans="2:12" x14ac:dyDescent="0.15">
      <c r="J29" s="204" t="s">
        <v>184</v>
      </c>
    </row>
    <row r="30" spans="2:12" ht="16" x14ac:dyDescent="0.2">
      <c r="J30" s="190" t="s">
        <v>158</v>
      </c>
      <c r="K30" s="190">
        <v>10</v>
      </c>
    </row>
    <row r="31" spans="2:12" ht="15" x14ac:dyDescent="0.2">
      <c r="J31" s="188" t="s">
        <v>187</v>
      </c>
      <c r="K31" s="192">
        <v>3000</v>
      </c>
      <c r="L31" s="193"/>
    </row>
    <row r="32" spans="2:12" ht="15" x14ac:dyDescent="0.2">
      <c r="J32" s="188" t="s">
        <v>186</v>
      </c>
      <c r="K32" s="192">
        <v>3000</v>
      </c>
      <c r="L32" s="193"/>
    </row>
    <row r="33" spans="4:12" ht="15" x14ac:dyDescent="0.2">
      <c r="D33" s="188" t="s">
        <v>169</v>
      </c>
      <c r="J33" s="188" t="s">
        <v>185</v>
      </c>
      <c r="K33" s="192">
        <v>3000</v>
      </c>
      <c r="L33" s="193"/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0717-DDAB-0B44-B132-5FB9B32D5EBD}">
  <dimension ref="B2:P27"/>
  <sheetViews>
    <sheetView zoomScale="143" workbookViewId="0">
      <selection activeCell="D20" sqref="D20"/>
    </sheetView>
  </sheetViews>
  <sheetFormatPr baseColWidth="10" defaultRowHeight="12" x14ac:dyDescent="0.15"/>
  <cols>
    <col min="1" max="1" width="10.83203125" style="188"/>
    <col min="2" max="3" width="45.1640625" style="188" customWidth="1"/>
    <col min="4" max="4" width="26.83203125" style="188" customWidth="1"/>
    <col min="5" max="5" width="23.6640625" style="188" customWidth="1"/>
    <col min="6" max="6" width="15.5" style="188" bestFit="1" customWidth="1"/>
    <col min="7" max="7" width="21.6640625" style="188" bestFit="1" customWidth="1"/>
    <col min="8" max="9" width="15.5" style="188" customWidth="1"/>
    <col min="10" max="10" width="33.6640625" style="188" bestFit="1" customWidth="1"/>
    <col min="11" max="11" width="10.33203125" style="188" bestFit="1" customWidth="1"/>
    <col min="12" max="12" width="10.83203125" style="188"/>
    <col min="13" max="13" width="17.83203125" style="188" bestFit="1" customWidth="1"/>
    <col min="14" max="16384" width="10.83203125" style="188"/>
  </cols>
  <sheetData>
    <row r="2" spans="2:16" x14ac:dyDescent="0.15">
      <c r="J2" s="204" t="s">
        <v>184</v>
      </c>
      <c r="M2" s="210" t="s">
        <v>219</v>
      </c>
      <c r="N2" s="188">
        <v>35</v>
      </c>
    </row>
    <row r="3" spans="2:16" ht="16" x14ac:dyDescent="0.2">
      <c r="B3" s="190" t="s">
        <v>158</v>
      </c>
      <c r="C3" s="190" t="s">
        <v>243</v>
      </c>
      <c r="D3" s="190">
        <v>10</v>
      </c>
      <c r="E3" s="190" t="s">
        <v>244</v>
      </c>
      <c r="F3" s="190">
        <v>10</v>
      </c>
      <c r="G3" s="190" t="s">
        <v>245</v>
      </c>
      <c r="H3" s="190">
        <v>10</v>
      </c>
      <c r="I3" s="212"/>
      <c r="J3" s="190" t="s">
        <v>158</v>
      </c>
      <c r="K3" s="190">
        <v>10</v>
      </c>
      <c r="M3" s="210" t="s">
        <v>220</v>
      </c>
      <c r="N3" s="188">
        <v>33</v>
      </c>
      <c r="O3" s="204"/>
      <c r="P3" s="204"/>
    </row>
    <row r="4" spans="2:16" ht="15" x14ac:dyDescent="0.2">
      <c r="B4" s="188" t="s">
        <v>171</v>
      </c>
      <c r="C4" s="224">
        <f>'Total Costs'!B12</f>
        <v>356.82000000000005</v>
      </c>
      <c r="D4" s="192">
        <f>Models!C8</f>
        <v>1784.1000000000004</v>
      </c>
      <c r="E4" s="225">
        <f>(D4)/C4</f>
        <v>5</v>
      </c>
      <c r="F4" s="207">
        <v>2250</v>
      </c>
      <c r="G4" s="226">
        <f>F4/C4</f>
        <v>6.3057003531192191</v>
      </c>
      <c r="H4" s="211">
        <f>$N$3*F4</f>
        <v>74250</v>
      </c>
      <c r="I4" s="213"/>
      <c r="J4" s="188" t="s">
        <v>203</v>
      </c>
      <c r="K4" s="192">
        <f>F4+'Sensor Costs'!G81</f>
        <v>3540.7080000000001</v>
      </c>
      <c r="L4" s="188">
        <v>3150</v>
      </c>
      <c r="P4" s="193"/>
    </row>
    <row r="5" spans="2:16" ht="15" x14ac:dyDescent="0.2">
      <c r="B5" s="188" t="s">
        <v>255</v>
      </c>
      <c r="C5" s="224">
        <f>C4+SUM('Sensor Costs'!G134,'Sensor Costs'!G137,'Sensor Costs'!G128)</f>
        <v>858.42000000000007</v>
      </c>
      <c r="D5" s="192">
        <f>D4+SUM('Sensor Costs'!G134,'Sensor Costs'!G137,'Sensor Costs'!G128)</f>
        <v>2285.7000000000003</v>
      </c>
      <c r="E5" s="225">
        <f t="shared" ref="E5" si="0">(D5)/C5</f>
        <v>2.662682602921647</v>
      </c>
      <c r="F5" s="207">
        <v>3250</v>
      </c>
      <c r="G5" s="226">
        <f t="shared" ref="G5" si="1">F5/C5</f>
        <v>3.7860254886885203</v>
      </c>
      <c r="H5" s="211">
        <f t="shared" ref="H5" si="2">$N$3*F5</f>
        <v>107250</v>
      </c>
      <c r="I5" s="213"/>
      <c r="J5" s="188" t="s">
        <v>191</v>
      </c>
      <c r="K5" s="192">
        <f>F4+'Sensor Costs'!G116+'Sensor Costs'!G68+'Sensor Costs'!G67</f>
        <v>2744.5049999999997</v>
      </c>
      <c r="L5" s="188">
        <v>2750</v>
      </c>
      <c r="P5" s="193"/>
    </row>
    <row r="6" spans="2:16" ht="16" x14ac:dyDescent="0.2">
      <c r="B6" s="191"/>
      <c r="C6" s="191"/>
      <c r="D6" s="191"/>
      <c r="E6" s="191"/>
      <c r="J6" s="188" t="s">
        <v>157</v>
      </c>
      <c r="K6" s="208">
        <v>500</v>
      </c>
    </row>
    <row r="7" spans="2:16" ht="16" x14ac:dyDescent="0.2">
      <c r="B7" s="188" t="s">
        <v>157</v>
      </c>
      <c r="D7" s="189">
        <v>550</v>
      </c>
      <c r="E7" s="189"/>
      <c r="J7" s="188" t="s">
        <v>192</v>
      </c>
      <c r="K7" s="208">
        <v>1250</v>
      </c>
    </row>
    <row r="8" spans="2:16" ht="16" x14ac:dyDescent="0.2">
      <c r="B8" s="188" t="s">
        <v>204</v>
      </c>
      <c r="H8" s="188" t="s">
        <v>169</v>
      </c>
      <c r="J8" s="188" t="s">
        <v>193</v>
      </c>
      <c r="K8" s="208">
        <v>900</v>
      </c>
    </row>
    <row r="9" spans="2:16" ht="15" x14ac:dyDescent="0.2">
      <c r="B9" s="188" t="s">
        <v>205</v>
      </c>
      <c r="J9" s="188" t="s">
        <v>195</v>
      </c>
      <c r="K9" s="189">
        <v>750</v>
      </c>
    </row>
    <row r="10" spans="2:16" ht="15" x14ac:dyDescent="0.2">
      <c r="B10" s="188" t="s">
        <v>206</v>
      </c>
      <c r="J10" s="188" t="s">
        <v>190</v>
      </c>
      <c r="K10" s="189">
        <v>250</v>
      </c>
    </row>
    <row r="12" spans="2:16" ht="16" x14ac:dyDescent="0.2">
      <c r="B12" s="190" t="s">
        <v>156</v>
      </c>
      <c r="C12" s="190"/>
      <c r="D12" s="190">
        <v>10</v>
      </c>
      <c r="E12" s="190"/>
      <c r="J12" s="190" t="s">
        <v>156</v>
      </c>
      <c r="K12" s="190">
        <v>10</v>
      </c>
    </row>
    <row r="13" spans="2:16" ht="15" x14ac:dyDescent="0.2">
      <c r="B13" s="188" t="s">
        <v>171</v>
      </c>
      <c r="D13" s="189">
        <f>F4/18</f>
        <v>125</v>
      </c>
      <c r="E13" s="189"/>
      <c r="F13" s="214">
        <v>125</v>
      </c>
      <c r="G13" s="214"/>
      <c r="H13" s="215">
        <f>F13*$N$2</f>
        <v>4375</v>
      </c>
      <c r="J13" s="188" t="s">
        <v>187</v>
      </c>
      <c r="K13" s="189">
        <v>175</v>
      </c>
    </row>
    <row r="14" spans="2:16" ht="15" x14ac:dyDescent="0.2">
      <c r="B14" s="188" t="s">
        <v>172</v>
      </c>
      <c r="D14" s="189">
        <f>F5/18</f>
        <v>180.55555555555554</v>
      </c>
      <c r="E14" s="189"/>
      <c r="F14" s="214">
        <v>175</v>
      </c>
      <c r="G14" s="214"/>
      <c r="H14" s="215">
        <f t="shared" ref="H14:H17" si="3">F14*$N$2</f>
        <v>6125</v>
      </c>
      <c r="J14" s="188" t="s">
        <v>186</v>
      </c>
      <c r="K14" s="189" t="e">
        <f>#REF!/18</f>
        <v>#REF!</v>
      </c>
    </row>
    <row r="15" spans="2:16" ht="15" x14ac:dyDescent="0.2">
      <c r="B15" s="188" t="s">
        <v>173</v>
      </c>
      <c r="D15" s="189" t="e">
        <f>#REF!/18</f>
        <v>#REF!</v>
      </c>
      <c r="E15" s="189"/>
      <c r="F15" s="214">
        <v>200</v>
      </c>
      <c r="G15" s="214"/>
      <c r="H15" s="215">
        <f t="shared" si="3"/>
        <v>7000</v>
      </c>
      <c r="J15" s="188" t="s">
        <v>185</v>
      </c>
      <c r="K15" s="189">
        <v>300</v>
      </c>
    </row>
    <row r="16" spans="2:16" ht="15" x14ac:dyDescent="0.2">
      <c r="B16" s="188" t="s">
        <v>174</v>
      </c>
      <c r="D16" s="189" t="e">
        <f>#REF!/18</f>
        <v>#REF!</v>
      </c>
      <c r="E16" s="189"/>
      <c r="F16" s="214">
        <v>225</v>
      </c>
      <c r="G16" s="214"/>
      <c r="H16" s="215">
        <f t="shared" si="3"/>
        <v>7875</v>
      </c>
      <c r="K16" s="189"/>
    </row>
    <row r="17" spans="2:12" ht="15" x14ac:dyDescent="0.2">
      <c r="B17" s="188" t="s">
        <v>175</v>
      </c>
      <c r="D17" s="189" t="e">
        <f>#REF!/18</f>
        <v>#REF!</v>
      </c>
      <c r="E17" s="189"/>
      <c r="F17" s="214">
        <v>250</v>
      </c>
      <c r="G17" s="214"/>
      <c r="H17" s="215">
        <f t="shared" si="3"/>
        <v>8750</v>
      </c>
      <c r="J17" s="191"/>
      <c r="K17" s="191"/>
    </row>
    <row r="18" spans="2:12" ht="15" x14ac:dyDescent="0.2">
      <c r="B18" s="188" t="s">
        <v>202</v>
      </c>
      <c r="H18" s="193"/>
      <c r="J18" s="188" t="s">
        <v>188</v>
      </c>
      <c r="K18" s="189" t="s">
        <v>189</v>
      </c>
    </row>
    <row r="23" spans="2:12" x14ac:dyDescent="0.15">
      <c r="J23" s="204" t="s">
        <v>184</v>
      </c>
    </row>
    <row r="24" spans="2:12" ht="16" x14ac:dyDescent="0.2">
      <c r="J24" s="190" t="s">
        <v>158</v>
      </c>
      <c r="K24" s="190">
        <v>10</v>
      </c>
    </row>
    <row r="25" spans="2:12" ht="15" x14ac:dyDescent="0.2">
      <c r="J25" s="188" t="s">
        <v>187</v>
      </c>
      <c r="K25" s="192">
        <v>3000</v>
      </c>
      <c r="L25" s="193"/>
    </row>
    <row r="26" spans="2:12" ht="15" x14ac:dyDescent="0.2">
      <c r="J26" s="188" t="s">
        <v>186</v>
      </c>
      <c r="K26" s="192">
        <v>3000</v>
      </c>
      <c r="L26" s="193"/>
    </row>
    <row r="27" spans="2:12" ht="15" x14ac:dyDescent="0.2">
      <c r="D27" s="188" t="s">
        <v>169</v>
      </c>
      <c r="J27" s="188" t="s">
        <v>185</v>
      </c>
      <c r="K27" s="192">
        <v>3000</v>
      </c>
      <c r="L27" s="193"/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4F30-594A-774A-94A5-23F9393E4EE4}">
  <dimension ref="B1:O65"/>
  <sheetViews>
    <sheetView zoomScale="138" workbookViewId="0">
      <selection activeCell="C21" sqref="C21"/>
    </sheetView>
  </sheetViews>
  <sheetFormatPr baseColWidth="10" defaultColWidth="14.33203125" defaultRowHeight="15" customHeight="1" x14ac:dyDescent="0.15"/>
  <cols>
    <col min="1" max="1" width="8.6640625" style="188" customWidth="1"/>
    <col min="2" max="2" width="21.83203125" style="188" customWidth="1"/>
    <col min="3" max="3" width="10" style="188" bestFit="1" customWidth="1"/>
    <col min="4" max="5" width="12.33203125" style="188" bestFit="1" customWidth="1"/>
    <col min="6" max="6" width="12.5" style="188" bestFit="1" customWidth="1"/>
    <col min="7" max="7" width="14" style="188" bestFit="1" customWidth="1"/>
    <col min="8" max="10" width="8.6640625" style="188" customWidth="1"/>
    <col min="11" max="11" width="9.6640625" style="188" bestFit="1" customWidth="1"/>
    <col min="12" max="16384" width="14.33203125" style="188"/>
  </cols>
  <sheetData>
    <row r="1" spans="2:7" ht="14.25" customHeight="1" x14ac:dyDescent="0.15"/>
    <row r="2" spans="2:7" ht="14.25" customHeight="1" x14ac:dyDescent="0.15"/>
    <row r="3" spans="2:7" ht="14.25" customHeight="1" x14ac:dyDescent="0.15">
      <c r="B3" s="188" t="s">
        <v>159</v>
      </c>
    </row>
    <row r="4" spans="2:7" ht="14.25" customHeight="1" x14ac:dyDescent="0.15">
      <c r="B4" s="195" t="s">
        <v>160</v>
      </c>
      <c r="C4" s="194">
        <v>10</v>
      </c>
      <c r="D4" s="194">
        <v>50</v>
      </c>
      <c r="E4" s="194">
        <v>100</v>
      </c>
      <c r="F4" s="194">
        <v>500</v>
      </c>
      <c r="G4" s="194">
        <v>1000</v>
      </c>
    </row>
    <row r="5" spans="2:7" ht="14.25" customHeight="1" x14ac:dyDescent="0.15">
      <c r="B5" s="196">
        <v>2</v>
      </c>
      <c r="C5" s="197">
        <f>'Total Costs'!B$12*(1+Models!$B5)</f>
        <v>1070.46</v>
      </c>
      <c r="D5" s="197">
        <f>'Total Costs'!C$12*(1+Models!$B5)</f>
        <v>982.78500000000008</v>
      </c>
      <c r="E5" s="197">
        <f>'Total Costs'!D$12*(1+Models!$B5)</f>
        <v>895.11</v>
      </c>
      <c r="F5" s="197">
        <f>'Total Costs'!E$12*(1+Models!$B5)</f>
        <v>742.65749999999991</v>
      </c>
      <c r="G5" s="197">
        <f>'Total Costs'!F$12*(1+Models!$B5)</f>
        <v>681.64499999999998</v>
      </c>
    </row>
    <row r="6" spans="2:7" ht="14.25" customHeight="1" x14ac:dyDescent="0.15">
      <c r="B6" s="196">
        <v>2.5</v>
      </c>
      <c r="C6" s="197">
        <f>'Total Costs'!B$12*(1+Models!$B6)</f>
        <v>1248.8700000000001</v>
      </c>
      <c r="D6" s="197">
        <f>'Total Costs'!C$12*(1+Models!$B6)</f>
        <v>1146.5825</v>
      </c>
      <c r="E6" s="197">
        <f>'Total Costs'!D$12*(1+Models!$B6)</f>
        <v>1044.2950000000001</v>
      </c>
      <c r="F6" s="197">
        <f>'Total Costs'!E$12*(1+Models!$B6)</f>
        <v>866.43374999999992</v>
      </c>
      <c r="G6" s="197">
        <f>'Total Costs'!F$12*(1+Models!$B6)</f>
        <v>795.25249999999994</v>
      </c>
    </row>
    <row r="7" spans="2:7" ht="14.25" customHeight="1" x14ac:dyDescent="0.15">
      <c r="B7" s="196">
        <v>3</v>
      </c>
      <c r="C7" s="197">
        <f>'Total Costs'!B$12*(1+Models!$B7)</f>
        <v>1427.2800000000002</v>
      </c>
      <c r="D7" s="197">
        <f>'Total Costs'!C$12*(1+Models!$B7)</f>
        <v>1310.3800000000001</v>
      </c>
      <c r="E7" s="197">
        <f>'Total Costs'!D$12*(1+Models!$B7)</f>
        <v>1193.48</v>
      </c>
      <c r="F7" s="197">
        <f>'Total Costs'!E$12*(1+Models!$B7)</f>
        <v>990.20999999999992</v>
      </c>
      <c r="G7" s="197">
        <f>'Total Costs'!F$12*(1+Models!$B7)</f>
        <v>908.8599999999999</v>
      </c>
    </row>
    <row r="8" spans="2:7" ht="14.25" customHeight="1" x14ac:dyDescent="0.15">
      <c r="B8" s="196">
        <v>4</v>
      </c>
      <c r="C8" s="197">
        <f>'Total Costs'!B$12*(1+Models!$B8)</f>
        <v>1784.1000000000004</v>
      </c>
      <c r="D8" s="197">
        <f>'Total Costs'!C$12*(1+Models!$B8)</f>
        <v>1637.9750000000001</v>
      </c>
      <c r="E8" s="197">
        <f>'Total Costs'!D$12*(1+Models!$B8)</f>
        <v>1491.85</v>
      </c>
      <c r="F8" s="197">
        <f>'Total Costs'!E$12*(1+Models!$B8)</f>
        <v>1237.7624999999998</v>
      </c>
      <c r="G8" s="197">
        <f>'Total Costs'!F$12*(1+Models!$B8)</f>
        <v>1136.0749999999998</v>
      </c>
    </row>
    <row r="9" spans="2:7" ht="14.25" customHeight="1" x14ac:dyDescent="0.15"/>
    <row r="10" spans="2:7" ht="14.25" customHeight="1" x14ac:dyDescent="0.15">
      <c r="B10" s="188" t="s">
        <v>161</v>
      </c>
    </row>
    <row r="11" spans="2:7" ht="14.25" customHeight="1" x14ac:dyDescent="0.15">
      <c r="B11" s="195" t="s">
        <v>160</v>
      </c>
      <c r="C11" s="194">
        <v>10</v>
      </c>
      <c r="D11" s="194">
        <v>50</v>
      </c>
      <c r="E11" s="194">
        <v>100</v>
      </c>
      <c r="F11" s="194">
        <v>500</v>
      </c>
      <c r="G11" s="194">
        <v>1000</v>
      </c>
    </row>
    <row r="12" spans="2:7" ht="14.25" customHeight="1" x14ac:dyDescent="0.15">
      <c r="B12" s="196">
        <v>2.5</v>
      </c>
      <c r="C12" s="197">
        <f>SUM('Total Costs'!B$11,'Total Costs'!B$10,'Total Costs'!B$9)*(1+Models!$B12)</f>
        <v>0</v>
      </c>
      <c r="D12" s="197">
        <f>SUM('Total Costs'!C$11,'Total Costs'!C$10,'Total Costs'!C$9)*(1+Models!$B12)</f>
        <v>0</v>
      </c>
      <c r="E12" s="197">
        <f>SUM('Total Costs'!D$11,'Total Costs'!D$10,'Total Costs'!D$9)*(1+Models!$B12)</f>
        <v>0</v>
      </c>
      <c r="F12" s="197">
        <f>SUM('Total Costs'!E$11,'Total Costs'!E$10,'Total Costs'!E$9)*(1+Models!$B12)</f>
        <v>0</v>
      </c>
      <c r="G12" s="197">
        <f>SUM('Total Costs'!F$11,'Total Costs'!F$10,'Total Costs'!F$9)*(1+Models!$B12)</f>
        <v>0</v>
      </c>
    </row>
    <row r="13" spans="2:7" ht="14.25" customHeight="1" x14ac:dyDescent="0.15">
      <c r="B13" s="196">
        <v>3</v>
      </c>
      <c r="C13" s="197">
        <f>SUM('Total Costs'!B$11,'Total Costs'!B$10,'Total Costs'!B$9)*(1+Models!$B13)</f>
        <v>0</v>
      </c>
      <c r="D13" s="197">
        <f>SUM('Total Costs'!C$11,'Total Costs'!C$10,'Total Costs'!C$9)*(1+Models!$B13)</f>
        <v>0</v>
      </c>
      <c r="E13" s="197">
        <f>SUM('Total Costs'!D$11,'Total Costs'!D$10,'Total Costs'!D$9)*(1+Models!$B13)</f>
        <v>0</v>
      </c>
      <c r="F13" s="197">
        <f>SUM('Total Costs'!E$11,'Total Costs'!E$10,'Total Costs'!E$9)*(1+Models!$B13)</f>
        <v>0</v>
      </c>
      <c r="G13" s="197">
        <f>SUM('Total Costs'!F$11,'Total Costs'!F$10,'Total Costs'!F$9)*(1+Models!$B13)</f>
        <v>0</v>
      </c>
    </row>
    <row r="14" spans="2:7" ht="14.25" customHeight="1" x14ac:dyDescent="0.15">
      <c r="B14" s="196">
        <v>3.5</v>
      </c>
      <c r="C14" s="197">
        <f>SUM('Total Costs'!B$11,'Total Costs'!B$10,'Total Costs'!B$9)*(1+Models!$B14)</f>
        <v>0</v>
      </c>
      <c r="D14" s="197">
        <f>SUM('Total Costs'!C$11,'Total Costs'!C$10,'Total Costs'!C$9)*(1+Models!$B14)</f>
        <v>0</v>
      </c>
      <c r="E14" s="197">
        <f>SUM('Total Costs'!D$11,'Total Costs'!D$10,'Total Costs'!D$9)*(1+Models!$B14)</f>
        <v>0</v>
      </c>
      <c r="F14" s="197">
        <f>SUM('Total Costs'!E$11,'Total Costs'!E$10,'Total Costs'!E$9)*(1+Models!$B14)</f>
        <v>0</v>
      </c>
      <c r="G14" s="197">
        <f>SUM('Total Costs'!F$11,'Total Costs'!F$10,'Total Costs'!F$9)*(1+Models!$B14)</f>
        <v>0</v>
      </c>
    </row>
    <row r="15" spans="2:7" ht="14.25" customHeight="1" x14ac:dyDescent="0.15">
      <c r="B15" s="196">
        <v>4</v>
      </c>
      <c r="C15" s="197">
        <f>SUM('Total Costs'!B$11,'Total Costs'!B$10,'Total Costs'!B$9)*(1+Models!$B15)</f>
        <v>0</v>
      </c>
      <c r="D15" s="197">
        <f>SUM('Total Costs'!C$11,'Total Costs'!C$10,'Total Costs'!C$9)*(1+Models!$B15)</f>
        <v>0</v>
      </c>
      <c r="E15" s="197">
        <f>SUM('Total Costs'!D$11,'Total Costs'!D$10,'Total Costs'!D$9)*(1+Models!$B15)</f>
        <v>0</v>
      </c>
      <c r="F15" s="197">
        <f>SUM('Total Costs'!E$11,'Total Costs'!E$10,'Total Costs'!E$9)*(1+Models!$B15)</f>
        <v>0</v>
      </c>
      <c r="G15" s="197">
        <f>SUM('Total Costs'!F$11,'Total Costs'!F$10,'Total Costs'!F$9)*(1+Models!$B15)</f>
        <v>0</v>
      </c>
    </row>
    <row r="16" spans="2:7" ht="14.25" customHeight="1" x14ac:dyDescent="0.15"/>
    <row r="17" spans="2:15" ht="14.25" customHeight="1" x14ac:dyDescent="0.15">
      <c r="B17" s="188" t="s">
        <v>156</v>
      </c>
    </row>
    <row r="18" spans="2:15" ht="14.25" customHeight="1" x14ac:dyDescent="0.15">
      <c r="B18" s="195" t="s">
        <v>160</v>
      </c>
      <c r="C18" s="194">
        <v>10</v>
      </c>
      <c r="D18" s="194">
        <v>50</v>
      </c>
      <c r="E18" s="194">
        <v>100</v>
      </c>
      <c r="F18" s="194">
        <v>500</v>
      </c>
      <c r="G18" s="194">
        <v>1000</v>
      </c>
    </row>
    <row r="19" spans="2:15" ht="14.25" customHeight="1" x14ac:dyDescent="0.2">
      <c r="B19" s="196">
        <v>4</v>
      </c>
      <c r="C19" s="197">
        <f>(SUM(C12+C5)/2)</f>
        <v>535.23</v>
      </c>
      <c r="D19" s="197">
        <f>(SUM(D12+D5)/2)</f>
        <v>491.39250000000004</v>
      </c>
      <c r="E19" s="197">
        <f>(SUM(E12+E5)/2)</f>
        <v>447.55500000000001</v>
      </c>
      <c r="F19" s="189">
        <f>(SUM(F12+F5)/2)</f>
        <v>371.32874999999996</v>
      </c>
      <c r="G19" s="189">
        <f>(SUM(G12+G5)/2)</f>
        <v>340.82249999999999</v>
      </c>
    </row>
    <row r="20" spans="2:15" ht="14.25" customHeight="1" x14ac:dyDescent="0.2">
      <c r="B20" s="196">
        <v>4.5</v>
      </c>
      <c r="C20" s="197">
        <f t="shared" ref="C20:G22" si="0">(SUM(C13+C6)/2)</f>
        <v>624.43500000000006</v>
      </c>
      <c r="D20" s="197">
        <f t="shared" si="0"/>
        <v>573.29124999999999</v>
      </c>
      <c r="E20" s="189">
        <f t="shared" si="0"/>
        <v>522.14750000000004</v>
      </c>
      <c r="F20" s="197">
        <f t="shared" si="0"/>
        <v>433.21687499999996</v>
      </c>
      <c r="G20" s="197">
        <f t="shared" si="0"/>
        <v>397.62624999999997</v>
      </c>
      <c r="M20" s="193"/>
    </row>
    <row r="21" spans="2:15" ht="14.25" customHeight="1" x14ac:dyDescent="0.2">
      <c r="B21" s="196">
        <v>5</v>
      </c>
      <c r="C21" s="197">
        <f t="shared" si="0"/>
        <v>713.6400000000001</v>
      </c>
      <c r="D21" s="189">
        <f t="shared" si="0"/>
        <v>655.19000000000005</v>
      </c>
      <c r="E21" s="197">
        <f t="shared" si="0"/>
        <v>596.74</v>
      </c>
      <c r="F21" s="197">
        <f t="shared" si="0"/>
        <v>495.10499999999996</v>
      </c>
      <c r="G21" s="197">
        <f t="shared" si="0"/>
        <v>454.42999999999995</v>
      </c>
    </row>
    <row r="22" spans="2:15" ht="14.25" customHeight="1" x14ac:dyDescent="0.2">
      <c r="B22" s="196">
        <v>5.5</v>
      </c>
      <c r="C22" s="189">
        <f t="shared" si="0"/>
        <v>892.05000000000018</v>
      </c>
      <c r="D22" s="197">
        <f t="shared" si="0"/>
        <v>818.98750000000007</v>
      </c>
      <c r="E22" s="197">
        <f t="shared" si="0"/>
        <v>745.92499999999995</v>
      </c>
      <c r="F22" s="197">
        <f t="shared" si="0"/>
        <v>618.88124999999991</v>
      </c>
      <c r="G22" s="197">
        <f t="shared" si="0"/>
        <v>568.03749999999991</v>
      </c>
    </row>
    <row r="23" spans="2:15" ht="14.25" customHeight="1" x14ac:dyDescent="0.15"/>
    <row r="24" spans="2:15" ht="14.25" customHeight="1" x14ac:dyDescent="0.15">
      <c r="B24" s="188" t="s">
        <v>162</v>
      </c>
      <c r="C24" s="197">
        <f>C15*C11</f>
        <v>0</v>
      </c>
      <c r="D24" s="197">
        <f>D14*D11</f>
        <v>0</v>
      </c>
      <c r="E24" s="197">
        <f>E13*E11</f>
        <v>0</v>
      </c>
      <c r="F24" s="197">
        <f>F13*F11</f>
        <v>0</v>
      </c>
      <c r="G24" s="197">
        <f>G12*G11</f>
        <v>0</v>
      </c>
      <c r="M24" s="197"/>
    </row>
    <row r="25" spans="2:15" ht="14.25" customHeight="1" x14ac:dyDescent="0.15">
      <c r="B25" s="188" t="s">
        <v>163</v>
      </c>
      <c r="C25" s="197">
        <f>'Total Costs'!B20</f>
        <v>0</v>
      </c>
      <c r="D25" s="197">
        <f>'Total Costs'!C20</f>
        <v>0</v>
      </c>
      <c r="E25" s="197">
        <f>'Total Costs'!D20</f>
        <v>0</v>
      </c>
      <c r="F25" s="197">
        <f>'Total Costs'!E20</f>
        <v>0</v>
      </c>
      <c r="G25" s="197">
        <f>'Total Costs'!F20</f>
        <v>0</v>
      </c>
      <c r="M25" s="193"/>
      <c r="N25" s="193"/>
      <c r="O25" s="193"/>
    </row>
    <row r="26" spans="2:15" ht="14.25" customHeight="1" x14ac:dyDescent="0.15">
      <c r="B26" s="188" t="s">
        <v>164</v>
      </c>
      <c r="C26" s="198" t="e">
        <f>C25/C24</f>
        <v>#DIV/0!</v>
      </c>
      <c r="D26" s="198" t="e">
        <f>D25/D24</f>
        <v>#DIV/0!</v>
      </c>
      <c r="E26" s="198" t="e">
        <f>E25/E24</f>
        <v>#DIV/0!</v>
      </c>
      <c r="F26" s="198" t="e">
        <f>F25/F24</f>
        <v>#DIV/0!</v>
      </c>
      <c r="G26" s="198" t="e">
        <f>G25/G24</f>
        <v>#DIV/0!</v>
      </c>
    </row>
    <row r="27" spans="2:15" ht="14.25" customHeight="1" x14ac:dyDescent="0.15">
      <c r="C27" s="198"/>
      <c r="D27" s="198"/>
      <c r="E27" s="198"/>
      <c r="F27" s="198"/>
      <c r="G27" s="198"/>
    </row>
    <row r="28" spans="2:15" ht="14.25" customHeight="1" x14ac:dyDescent="0.15"/>
    <row r="29" spans="2:15" ht="14.25" customHeight="1" x14ac:dyDescent="0.15">
      <c r="B29" s="188" t="s">
        <v>156</v>
      </c>
    </row>
    <row r="30" spans="2:15" ht="14.25" customHeight="1" x14ac:dyDescent="0.15">
      <c r="B30" s="188" t="s">
        <v>218</v>
      </c>
    </row>
    <row r="31" spans="2:15" ht="14.25" customHeight="1" x14ac:dyDescent="0.15">
      <c r="B31" s="195" t="s">
        <v>160</v>
      </c>
      <c r="C31" s="194">
        <v>10</v>
      </c>
      <c r="D31" s="194">
        <v>50</v>
      </c>
      <c r="E31" s="194">
        <v>100</v>
      </c>
      <c r="F31" s="194">
        <v>500</v>
      </c>
      <c r="G31" s="194">
        <v>1000</v>
      </c>
    </row>
    <row r="32" spans="2:15" ht="14.25" customHeight="1" x14ac:dyDescent="0.15">
      <c r="B32" s="196">
        <v>4</v>
      </c>
      <c r="C32" s="197">
        <f>C5/16</f>
        <v>66.903750000000002</v>
      </c>
      <c r="D32" s="197">
        <f t="shared" ref="D32:G32" si="1">D5/16</f>
        <v>61.424062500000005</v>
      </c>
      <c r="E32" s="197">
        <f t="shared" si="1"/>
        <v>55.944375000000001</v>
      </c>
      <c r="F32" s="197">
        <f t="shared" si="1"/>
        <v>46.416093749999995</v>
      </c>
      <c r="G32" s="197">
        <f t="shared" si="1"/>
        <v>42.602812499999999</v>
      </c>
    </row>
    <row r="33" spans="2:7" ht="14.25" customHeight="1" x14ac:dyDescent="0.15">
      <c r="B33" s="196">
        <v>4.5</v>
      </c>
      <c r="C33" s="197">
        <f t="shared" ref="C33:G35" si="2">C6/16</f>
        <v>78.054375000000007</v>
      </c>
      <c r="D33" s="197">
        <f t="shared" si="2"/>
        <v>71.661406249999999</v>
      </c>
      <c r="E33" s="197">
        <f t="shared" si="2"/>
        <v>65.268437500000005</v>
      </c>
      <c r="F33" s="197">
        <f t="shared" si="2"/>
        <v>54.152109374999995</v>
      </c>
      <c r="G33" s="197">
        <f t="shared" si="2"/>
        <v>49.703281249999996</v>
      </c>
    </row>
    <row r="34" spans="2:7" ht="14.25" customHeight="1" x14ac:dyDescent="0.15">
      <c r="B34" s="196">
        <v>5</v>
      </c>
      <c r="C34" s="197">
        <f t="shared" si="2"/>
        <v>89.205000000000013</v>
      </c>
      <c r="D34" s="197">
        <f t="shared" si="2"/>
        <v>81.898750000000007</v>
      </c>
      <c r="E34" s="197">
        <f t="shared" si="2"/>
        <v>74.592500000000001</v>
      </c>
      <c r="F34" s="197">
        <f t="shared" si="2"/>
        <v>61.888124999999995</v>
      </c>
      <c r="G34" s="197">
        <f t="shared" si="2"/>
        <v>56.803749999999994</v>
      </c>
    </row>
    <row r="35" spans="2:7" ht="14.25" customHeight="1" x14ac:dyDescent="0.15">
      <c r="B35" s="196">
        <v>5.5</v>
      </c>
      <c r="C35" s="197">
        <f t="shared" si="2"/>
        <v>111.50625000000002</v>
      </c>
      <c r="D35" s="197">
        <f t="shared" si="2"/>
        <v>102.37343750000001</v>
      </c>
      <c r="E35" s="197">
        <f t="shared" si="2"/>
        <v>93.240624999999994</v>
      </c>
      <c r="F35" s="197">
        <f t="shared" si="2"/>
        <v>77.360156249999989</v>
      </c>
      <c r="G35" s="197">
        <f t="shared" si="2"/>
        <v>71.004687499999989</v>
      </c>
    </row>
    <row r="36" spans="2:7" ht="14.25" customHeight="1" x14ac:dyDescent="0.15"/>
    <row r="37" spans="2:7" ht="14.25" customHeight="1" x14ac:dyDescent="0.15"/>
    <row r="38" spans="2:7" ht="14.25" customHeight="1" x14ac:dyDescent="0.15"/>
    <row r="39" spans="2:7" ht="14.25" customHeight="1" x14ac:dyDescent="0.15"/>
    <row r="40" spans="2:7" ht="14.25" customHeight="1" x14ac:dyDescent="0.15"/>
    <row r="41" spans="2:7" ht="14.25" customHeight="1" x14ac:dyDescent="0.15"/>
    <row r="42" spans="2:7" ht="14.25" customHeight="1" x14ac:dyDescent="0.15"/>
    <row r="43" spans="2:7" ht="14.25" customHeight="1" x14ac:dyDescent="0.15"/>
    <row r="44" spans="2:7" ht="14.25" customHeight="1" x14ac:dyDescent="0.15"/>
    <row r="45" spans="2:7" ht="14.25" customHeight="1" x14ac:dyDescent="0.15"/>
    <row r="46" spans="2:7" ht="14.25" customHeight="1" x14ac:dyDescent="0.15"/>
    <row r="47" spans="2:7" ht="14.25" customHeight="1" x14ac:dyDescent="0.15"/>
    <row r="48" spans="2:7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</sheetData>
  <pageMargins left="0.7" right="0.7" top="0.75" bottom="0.75" header="0" footer="0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FF82-7DA4-4CC1-B246-882E1CF6AEEE}">
  <dimension ref="A1:A2"/>
  <sheetViews>
    <sheetView workbookViewId="0">
      <selection activeCell="I13" sqref="I13"/>
    </sheetView>
  </sheetViews>
  <sheetFormatPr baseColWidth="10" defaultColWidth="8.83203125" defaultRowHeight="12" x14ac:dyDescent="0.15"/>
  <cols>
    <col min="1" max="1" width="20.6640625" bestFit="1" customWidth="1"/>
    <col min="2" max="2" width="14.6640625" bestFit="1" customWidth="1"/>
    <col min="3" max="3" width="18.33203125" bestFit="1" customWidth="1"/>
  </cols>
  <sheetData>
    <row r="1" spans="1:1" x14ac:dyDescent="0.15">
      <c r="A1" t="s">
        <v>121</v>
      </c>
    </row>
    <row r="2" spans="1:1" x14ac:dyDescent="0.15">
      <c r="A2">
        <v>20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BD4F902C-2BFB-CD42-A8B3-51CA6DC5998A}">
          <xm:f>'Live-currencies'!$A$2</xm:f>
        </x15:webExtension>
      </x15:webExtens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8410D6-97D8-4F6D-AC82-B8C46BAF1E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ResearchAndDevCost</vt:lpstr>
      <vt:lpstr>BOMCost</vt:lpstr>
      <vt:lpstr>SupportCost</vt:lpstr>
      <vt:lpstr>COGS</vt:lpstr>
      <vt:lpstr>Total Costs</vt:lpstr>
      <vt:lpstr>Sensor Costs</vt:lpstr>
      <vt:lpstr>nextpm-check</vt:lpstr>
      <vt:lpstr>Annual Services Costs</vt:lpstr>
      <vt:lpstr>Sensor Box Prices</vt:lpstr>
      <vt:lpstr>Prices</vt:lpstr>
      <vt:lpstr>Prices-custom</vt:lpstr>
      <vt:lpstr>Models</vt:lpstr>
      <vt:lpstr>Live-currencies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Baris Can Ustundag</cp:lastModifiedBy>
  <cp:lastPrinted>2022-11-11T12:54:28Z</cp:lastPrinted>
  <dcterms:created xsi:type="dcterms:W3CDTF">2015-06-05T18:17:20Z</dcterms:created>
  <dcterms:modified xsi:type="dcterms:W3CDTF">2024-09-23T06:48:24Z</dcterms:modified>
</cp:coreProperties>
</file>